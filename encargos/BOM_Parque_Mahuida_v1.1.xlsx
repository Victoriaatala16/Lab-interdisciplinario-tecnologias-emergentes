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BOM" sheetId="2" state="visible" r:id="rId4"/>
    <sheet name="Fases" sheetId="7" state="visible" r:id="rId20"/>
    <sheet name="Trazabilidad" sheetId="3" state="visible" r:id="rId5"/>
    <sheet name="Resumen" sheetId="4" state="visible" r:id="rId6"/>
    <sheet name="Historial" sheetId="5" state="visible" r:id="rId7"/>
    <sheet name="Listas" sheetId="6" state="visible" r:id="rId8"/>
  </sheets>
  <definedNames>
    <definedName function="false" hidden="true" localSheetId="1" name="_xlnm._FilterDatabase" vbProcedure="false">BOM!$A$8:$Q$208</definedName>
  </definedName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9" authorId="0">
      <text>
        <r>
          <rPr>
            <sz val="10"/>
            <rFont val="Arial"/>
            <family val="2"/>
          </rPr>
          <t xml:space="preserve">Valor referencial en CLP indicado en la presentación de la clase. Actualizar con cotización real.</t>
        </r>
      </text>
    </comment>
  </commentList>
</comments>
</file>

<file path=xl/sharedStrings.xml><?xml version="1.0" encoding="utf-8"?>
<sst xmlns="http://schemas.openxmlformats.org/spreadsheetml/2006/main" count="265" uniqueCount="178">
  <si>
    <t xml:space="preserve">Plantilla BOM · Bill of Materials</t>
  </si>
  <si>
    <t xml:space="preserve">Taller Integrado · Diseño + Ingeniería · ExploraTec UDD</t>
  </si>
  <si>
    <t xml:space="preserve">Regla de oro</t>
  </si>
  <si>
    <t xml:space="preserve">Otra persona debería entender qué comprar sin tener que preguntarle al diseñador.</t>
  </si>
  <si>
    <t xml:space="preserve">Leyenda</t>
  </si>
  <si>
    <t xml:space="preserve">Celda blanca</t>
  </si>
  <si>
    <t xml:space="preserve">Se completa a mano. Las columnas Subsistema, Unidad, Disponibilidad y Estado tienen lista desplegable.</t>
  </si>
  <si>
    <t xml:space="preserve">Celda gris</t>
  </si>
  <si>
    <t xml:space="preserve">Se calcula sola (fórmula). No editar.</t>
  </si>
  <si>
    <t xml:space="preserve">Celda amarilla</t>
  </si>
  <si>
    <t xml:space="preserve">Dato de encabezado del proyecto (nombre, equipo, versión, fecha).</t>
  </si>
  <si>
    <t xml:space="preserve">Texto azul</t>
  </si>
  <si>
    <t xml:space="preserve">Valor ingresado a mano que alimenta cálculos (cantidades y precios).</t>
  </si>
  <si>
    <t xml:space="preserve">Columnas del BOM</t>
  </si>
  <si>
    <t xml:space="preserve">ID</t>
  </si>
  <si>
    <t xml:space="preserve">Código único por ítem. Prefijo por subsistema: E electrónica · M mecánica · F fabricación · T terminaciones · A ensamblaje · O otros (E01, E02, M01…). No se reutiliza un ID eliminado.</t>
  </si>
  <si>
    <t xml:space="preserve">Subsistema</t>
  </si>
  <si>
    <t xml:space="preserve">Agrupa el BOM más allá de la electrónica y ayuda a repartir responsabilidades.</t>
  </si>
  <si>
    <t xml:space="preserve">Función (arquitectura)</t>
  </si>
  <si>
    <t xml:space="preserve">Qué función de la arquitectura cumple el ítem. Debe escribirse igual que en la hoja Trazabilidad.</t>
  </si>
  <si>
    <t xml:space="preserve">Componente</t>
  </si>
  <si>
    <t xml:space="preserve">Qué es, en términos genéricos (sensor ambiental, fuente, tornillo).</t>
  </si>
  <si>
    <t xml:space="preserve">Especificación</t>
  </si>
  <si>
    <t xml:space="preserve">Lo necesario para comprar sin preguntar: modelo, voltaje, medidas, material, norma (AHT10 I²C; M3 × 12 mm).</t>
  </si>
  <si>
    <t xml:space="preserve">Fabricante / MPN</t>
  </si>
  <si>
    <t xml:space="preserve">Marca y código de parte del fabricante, cuando exista.</t>
  </si>
  <si>
    <t xml:space="preserve">Cant. / Unidad</t>
  </si>
  <si>
    <t xml:space="preserve">Cantidad por prototipo y su unidad (un., m, m²…).</t>
  </si>
  <si>
    <t xml:space="preserve">Proveedor / Enlace</t>
  </si>
  <si>
    <t xml:space="preserve">Dónde se compra y enlace a la tienda o al datasheet.</t>
  </si>
  <si>
    <t xml:space="preserve">$ Unit. / $ Total</t>
  </si>
  <si>
    <t xml:space="preserve">Precio unitario en CLP con IVA; el total se calcula solo.</t>
  </si>
  <si>
    <t xml:space="preserve">Disponibilidad / Alternativa</t>
  </si>
  <si>
    <t xml:space="preserve">¿Existe localmente? ¿Qué lo reemplaza si no hay stock?</t>
  </si>
  <si>
    <t xml:space="preserve">Estado</t>
  </si>
  <si>
    <t xml:space="preserve">Avance de la compra: por cotizar → cotizado → comprado → recibido → instalado.</t>
  </si>
  <si>
    <t xml:space="preserve">Trazabilidad</t>
  </si>
  <si>
    <t xml:space="preserve">Se calcula sola: ✓ si la función existe en la hoja Trazabilidad; «Revisar» si no.</t>
  </si>
  <si>
    <t xml:space="preserve">Cómo versionar</t>
  </si>
  <si>
    <t xml:space="preserve">Guardar como BOM_v01, BOM_v02… y anotar cada cambio en la hoja Historial (qué cambió, por qué y su efecto en el costo). Si usan GitHub, subir el archivo en la carpeta 05_BOM.</t>
  </si>
  <si>
    <t xml:space="preserve">Todo ítem importante del BOM debe corresponder a una función de la arquitectura, y toda función física de la arquitectura debe tener al menos un ítem en el BOM.</t>
  </si>
  <si>
    <t xml:space="preserve">Datos de ejemplo</t>
  </si>
  <si>
    <t xml:space="preserve">Las filas precargadas usan el caso guía de la clase (estación ambiental). Los precios del ESP32, AHT10 y WS2812B son los valores referenciales de la presentación; el resto queda por cotizar. Borren las filas de ejemplo al usar la plantilla.</t>
  </si>
  <si>
    <t xml:space="preserve">BILL OF MATERIALS</t>
  </si>
  <si>
    <t xml:space="preserve">Proyecto</t>
  </si>
  <si>
    <t xml:space="preserve">Estación ambiental para un parque urbano (ejemplo)</t>
  </si>
  <si>
    <t xml:space="preserve">Costo total (CLP)</t>
  </si>
  <si>
    <t xml:space="preserve">Equipo</t>
  </si>
  <si>
    <t xml:space="preserve">[Nombre del equipo]</t>
  </si>
  <si>
    <t xml:space="preserve">N° de ítems</t>
  </si>
  <si>
    <t xml:space="preserve">Versión</t>
  </si>
  <si>
    <t xml:space="preserve">BOM_v01</t>
  </si>
  <si>
    <t xml:space="preserve">Ítems sin precio</t>
  </si>
  <si>
    <t xml:space="preserve">Fecha</t>
  </si>
  <si>
    <t xml:space="preserve">[dd-mm-aaaa]</t>
  </si>
  <si>
    <t xml:space="preserve">Ítems por revisar (trazab.)</t>
  </si>
  <si>
    <t xml:space="preserve">Cant.</t>
  </si>
  <si>
    <t xml:space="preserve">Unidad</t>
  </si>
  <si>
    <t xml:space="preserve">Proveedor</t>
  </si>
  <si>
    <t xml:space="preserve">Enlace (tienda o datasheet)</t>
  </si>
  <si>
    <t xml:space="preserve">$ Unit. (CLP)</t>
  </si>
  <si>
    <t xml:space="preserve">$ Total (CLP)</t>
  </si>
  <si>
    <t xml:space="preserve">Disponibilidad</t>
  </si>
  <si>
    <t xml:space="preserve">Alternativa / reemplazo</t>
  </si>
  <si>
    <t xml:space="preserve">Notas</t>
  </si>
  <si>
    <t xml:space="preserve">E01</t>
  </si>
  <si>
    <t xml:space="preserve">Electrónica</t>
  </si>
  <si>
    <t xml:space="preserve">Procesar y comunicar</t>
  </si>
  <si>
    <t xml:space="preserve">Microcontrolador</t>
  </si>
  <si>
    <t xml:space="preserve">ESP32 DevKit V1 (Wi-Fi + Bluetooth, lógica 3,3 V)</t>
  </si>
  <si>
    <t xml:space="preserve">un.</t>
  </si>
  <si>
    <t xml:space="preserve">Disponible en Chile</t>
  </si>
  <si>
    <t xml:space="preserve">ESP32-C3 DevKit</t>
  </si>
  <si>
    <t xml:space="preserve">Cotizado</t>
  </si>
  <si>
    <t xml:space="preserve">Precio referencial de la presentación.</t>
  </si>
  <si>
    <t xml:space="preserve">E02</t>
  </si>
  <si>
    <t xml:space="preserve">Medir temperatura y humedad</t>
  </si>
  <si>
    <t xml:space="preserve">Sensor ambiental</t>
  </si>
  <si>
    <t xml:space="preserve">AHT10, interfaz I²C</t>
  </si>
  <si>
    <t xml:space="preserve">AHT20 / SHT31</t>
  </si>
  <si>
    <t xml:space="preserve">Precio referencial. No mide luz.</t>
  </si>
  <si>
    <t xml:space="preserve">E03</t>
  </si>
  <si>
    <t xml:space="preserve">Medir luz</t>
  </si>
  <si>
    <t xml:space="preserve">Sensor de luz</t>
  </si>
  <si>
    <t xml:space="preserve">BH1750, interfaz I²C</t>
  </si>
  <si>
    <t xml:space="preserve">Por verificar</t>
  </si>
  <si>
    <t xml:space="preserve">Por cotizar</t>
  </si>
  <si>
    <t xml:space="preserve">Necesario porque el AHT10 no mide luz.</t>
  </si>
  <si>
    <t xml:space="preserve">E04</t>
  </si>
  <si>
    <t xml:space="preserve">Mostrar estado local</t>
  </si>
  <si>
    <t xml:space="preserve">Tira LED direccionable</t>
  </si>
  <si>
    <t xml:space="preserve">WS2812B, 60 LED/m, 5 V</t>
  </si>
  <si>
    <t xml:space="preserve">m</t>
  </si>
  <si>
    <t xml:space="preserve">SK6812</t>
  </si>
  <si>
    <t xml:space="preserve">Precio referencial. Hasta ~3,6 A a máximo brillo blanco.</t>
  </si>
  <si>
    <t xml:space="preserve">E05</t>
  </si>
  <si>
    <t xml:space="preserve">Adaptador de nivel lógico</t>
  </si>
  <si>
    <t xml:space="preserve">3,3 V → 5 V, 1 canal mínimo</t>
  </si>
  <si>
    <t xml:space="preserve">Recomendado para la señal de datos de la tira.</t>
  </si>
  <si>
    <t xml:space="preserve">E06</t>
  </si>
  <si>
    <t xml:space="preserve">Alimentar el sistema</t>
  </si>
  <si>
    <t xml:space="preserve">Fuente switching</t>
  </si>
  <si>
    <t xml:space="preserve">5 V / 5 A</t>
  </si>
  <si>
    <t xml:space="preserve">Dimensionada para la tira LED + ESP32.</t>
  </si>
  <si>
    <t xml:space="preserve">A01</t>
  </si>
  <si>
    <t xml:space="preserve">Ensamblaje</t>
  </si>
  <si>
    <t xml:space="preserve">Conectar componentes</t>
  </si>
  <si>
    <t xml:space="preserve">Cable</t>
  </si>
  <si>
    <t xml:space="preserve">AWG22, rojo</t>
  </si>
  <si>
    <t xml:space="preserve">A02</t>
  </si>
  <si>
    <t xml:space="preserve">AWG22, negro</t>
  </si>
  <si>
    <t xml:space="preserve">M01</t>
  </si>
  <si>
    <t xml:space="preserve">Mecánica / estructura</t>
  </si>
  <si>
    <t xml:space="preserve">Sostener y proteger el dispositivo</t>
  </si>
  <si>
    <t xml:space="preserve">Placa</t>
  </si>
  <si>
    <t xml:space="preserve">Contrachapado 9 mm</t>
  </si>
  <si>
    <t xml:space="preserve">m²</t>
  </si>
  <si>
    <t xml:space="preserve">Corte láser o CNC.</t>
  </si>
  <si>
    <t xml:space="preserve">M02</t>
  </si>
  <si>
    <t xml:space="preserve">Tornillo</t>
  </si>
  <si>
    <t xml:space="preserve">M3 × 12 mm</t>
  </si>
  <si>
    <t xml:space="preserve">Trazabilidad arquitectura ↔ BOM</t>
  </si>
  <si>
    <t xml:space="preserve">Liste aquí las funciones de su arquitectura. Cada función física debería tener al menos un ítem en el BOM.</t>
  </si>
  <si>
    <t xml:space="preserve">Función</t>
  </si>
  <si>
    <t xml:space="preserve">Capa</t>
  </si>
  <si>
    <t xml:space="preserve">Descripción</t>
  </si>
  <si>
    <t xml:space="preserve">N° ítems en BOM</t>
  </si>
  <si>
    <t xml:space="preserve">Costo asociado (CLP)</t>
  </si>
  <si>
    <t xml:space="preserve">3 Dispositivos</t>
  </si>
  <si>
    <t xml:space="preserve">Leer variables del entorno.</t>
  </si>
  <si>
    <t xml:space="preserve">Leer la luminosidad del parque.</t>
  </si>
  <si>
    <t xml:space="preserve">5 Procesamiento</t>
  </si>
  <si>
    <t xml:space="preserve">Leer sensores, decidir y enviar datos por Wi-Fi.</t>
  </si>
  <si>
    <t xml:space="preserve">2 Interacción</t>
  </si>
  <si>
    <t xml:space="preserve">Feedback visual al visitante, aun sin internet.</t>
  </si>
  <si>
    <t xml:space="preserve">Entregar 5 V estables al ESP32 y la tira LED.</t>
  </si>
  <si>
    <t xml:space="preserve">Cableado y conexiones entre partes.</t>
  </si>
  <si>
    <t xml:space="preserve">Estructura física</t>
  </si>
  <si>
    <t xml:space="preserve">Estructura y carcasa frente a lluvia y sol.</t>
  </si>
  <si>
    <t xml:space="preserve">Fijar al lugar</t>
  </si>
  <si>
    <t xml:space="preserve">Montaje en el parque (poste, muro, base).</t>
  </si>
  <si>
    <t xml:space="preserve">Registrar historial</t>
  </si>
  <si>
    <t xml:space="preserve">6 Información</t>
  </si>
  <si>
    <t xml:space="preserve">Base de datos en el servidor.</t>
  </si>
  <si>
    <t xml:space="preserve">Resumen por subsistema</t>
  </si>
  <si>
    <t xml:space="preserve">N° ítems</t>
  </si>
  <si>
    <t xml:space="preserve">Costo (CLP)</t>
  </si>
  <si>
    <t xml:space="preserve">% del total</t>
  </si>
  <si>
    <t xml:space="preserve">Fabricación</t>
  </si>
  <si>
    <t xml:space="preserve">Terminaciones</t>
  </si>
  <si>
    <t xml:space="preserve">Según el proyecto</t>
  </si>
  <si>
    <t xml:space="preserve">Total</t>
  </si>
  <si>
    <t xml:space="preserve">El costo solo considera ítems con precio. Revise «Ítems sin precio» antes de presentar un presupuesto.</t>
  </si>
  <si>
    <t xml:space="preserve">Historial de versiones</t>
  </si>
  <si>
    <t xml:space="preserve">Autor</t>
  </si>
  <si>
    <t xml:space="preserve">Qué cambió</t>
  </si>
  <si>
    <t xml:space="preserve">Por qué</t>
  </si>
  <si>
    <t xml:space="preserve">Ítems afectados (ID)</t>
  </si>
  <si>
    <t xml:space="preserve">Efecto en costo (CLP)</t>
  </si>
  <si>
    <t xml:space="preserve">[Nombre]</t>
  </si>
  <si>
    <t xml:space="preserve">Primera versión a partir de la arquitectura mínima viable.</t>
  </si>
  <si>
    <t xml:space="preserve">Traducir las funciones de la arquitectura a componentes concretos.</t>
  </si>
  <si>
    <t xml:space="preserve">E01–M02</t>
  </si>
  <si>
    <t xml:space="preserve">1 Personas / contexto</t>
  </si>
  <si>
    <t xml:space="preserve">Importación</t>
  </si>
  <si>
    <t xml:space="preserve">Sin stock</t>
  </si>
  <si>
    <t xml:space="preserve">Comprado</t>
  </si>
  <si>
    <t xml:space="preserve">cm</t>
  </si>
  <si>
    <t xml:space="preserve">Recibido</t>
  </si>
  <si>
    <t xml:space="preserve">4 Comunicación</t>
  </si>
  <si>
    <t xml:space="preserve">kg</t>
  </si>
  <si>
    <t xml:space="preserve">Instalado</t>
  </si>
  <si>
    <t xml:space="preserve">g</t>
  </si>
  <si>
    <t xml:space="preserve">Descartado</t>
  </si>
  <si>
    <t xml:space="preserve">ml</t>
  </si>
  <si>
    <t xml:space="preserve">7 Servicios</t>
  </si>
  <si>
    <t xml:space="preserve">set</t>
  </si>
  <si>
    <t xml:space="preserve">hr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</si>
</sst>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-$&quot;#,##0;\-"/>
    <numFmt numFmtId="166" formatCode="General"/>
    <numFmt numFmtId="167" formatCode="0.0%;\-0.0%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14FF"/>
      <name val="Arial"/>
      <family val="0"/>
      <charset val="1"/>
    </font>
    <font>
      <i val="true"/>
      <sz val="11"/>
      <color rgb="FF5A5A7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614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614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DEDED"/>
        <bgColor rgb="FFFFF3C4"/>
      </patternFill>
    </fill>
    <fill>
      <patternFill patternType="solid">
        <fgColor rgb="FFFFF3C4"/>
        <bgColor rgb="FFFFFF99"/>
      </patternFill>
    </fill>
    <fill>
      <patternFill patternType="solid">
        <fgColor rgb="FF1614FF"/>
        <bgColor rgb="FF0000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DC"/>
      </left>
      <right style="thin">
        <color rgb="FFC8C8DC"/>
      </right>
      <top style="thin">
        <color rgb="FFC8C8DC"/>
      </top>
      <bottom style="thin">
        <color rgb="FFC8C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614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3C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ont>
        <name val="Arial"/>
        <charset val="1"/>
        <family val="0"/>
        <b val="1"/>
        <color rgb="FFC2410C"/>
      </font>
      <fill>
        <patternFill>
          <bgColor rgb="FFFFD9CC"/>
        </patternFill>
      </fill>
    </dxf>
    <dxf>
      <fill>
        <patternFill>
          <bgColor rgb="FFFFF3C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DC"/>
      <rgbColor rgb="FF878787"/>
      <rgbColor rgb="FF9999FF"/>
      <rgbColor rgb="FF993366"/>
      <rgbColor rgb="FFFFF3C4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1614FF"/>
      <rgbColor rgb="FF00CCFF"/>
      <rgbColor rgb="FFCCFFFF"/>
      <rgbColor rgb="FFCCFFCC"/>
      <rgbColor rgb="FFFFFF99"/>
      <rgbColor rgb="FF99CCFF"/>
      <rgbColor rgb="FFFF99CC"/>
      <rgbColor rgb="FFCC99FF"/>
      <rgbColor rgb="FFFFD9CC"/>
      <rgbColor rgb="FF3366FF"/>
      <rgbColor rgb="FF33CCCC"/>
      <rgbColor rgb="FF99CC00"/>
      <rgbColor rgb="FFFFCC00"/>
      <rgbColor rgb="FFFF9900"/>
      <rgbColor rgb="FFFF6600"/>
      <rgbColor rgb="FF5A5A7A"/>
      <rgbColor rgb="FF969696"/>
      <rgbColor rgb="FF003366"/>
      <rgbColor rgb="FF339966"/>
      <rgbColor rgb="FF003300"/>
      <rgbColor rgb="FF333300"/>
      <rgbColor rgb="FFC241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Relationship Id="rId2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Costo por subsistema (CLP)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Resumen!C3</c:f>
              <c:strCache>
                <c:ptCount val="1"/>
                <c:pt idx="0">
                  <c:v>Costo (CLP)</c:v>
                </c:pt>
              </c:strCache>
            </c:strRef>
          </c:tx>
          <c:spPr>
            <a:solidFill>
              <a:srgbClr val="1614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Resumen!$A$4:$A$9</c:f>
              <c:strCache>
                <c:ptCount val="6"/>
                <c:pt idx="0">
                  <c:v>Electrónica</c:v>
                </c:pt>
                <c:pt idx="1">
                  <c:v>Mecánica / estructura</c:v>
                </c:pt>
                <c:pt idx="2">
                  <c:v>Fabricación</c:v>
                </c:pt>
                <c:pt idx="3">
                  <c:v>Terminaciones</c:v>
                </c:pt>
                <c:pt idx="4">
                  <c:v>Ensamblaje</c:v>
                </c:pt>
                <c:pt idx="5">
                  <c:v>Según el proyecto</c:v>
                </c:pt>
              </c:strCache>
            </c:strRef>
          </c:cat>
          <c:val>
            <c:numRef>
              <c:f>Resumen!$C$4:$C$9</c:f>
              <c:numCache>
                <c:formatCode>\$#,##0;"-$"#,##0;\-</c:formatCode>
                <c:ptCount val="6"/>
                <c:pt idx="0">
                  <c:v>19000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33920069"/>
        <c:axId val="32036283"/>
      </c:barChart>
      <c:catAx>
        <c:axId val="339200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036283"/>
        <c:crosses val="autoZero"/>
        <c:auto val="1"/>
        <c:lblAlgn val="ctr"/>
        <c:lblOffset val="100"/>
        <c:noMultiLvlLbl val="0"/>
      </c:catAx>
      <c:valAx>
        <c:axId val="320362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-$&quot;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200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130680</xdr:rowOff>
    </xdr:from>
    <xdr:to>
      <xdr:col>15</xdr:col>
      <xdr:colOff>255960</xdr:colOff>
      <xdr:row>16</xdr:row>
      <xdr:rowOff>153000</xdr:rowOff>
    </xdr:to>
    <xdr:graphicFrame>
      <xdr:nvGraphicFramePr>
        <xdr:cNvPr id="0" name="Chart 1"/>
        <xdr:cNvGraphicFramePr/>
      </xdr:nvGraphicFramePr>
      <xdr:xfrm>
        <a:off x="681408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0" t="s">
        <v>5</v>
      </c>
      <c r="B7" s="0" t="s">
        <v>6</v>
      </c>
    </row>
    <row r="8" customFormat="false" ht="15" hidden="false" customHeight="false" outlineLevel="0" collapsed="false">
      <c r="A8" s="5" t="s">
        <v>7</v>
      </c>
      <c r="B8" s="6" t="s">
        <v>8</v>
      </c>
    </row>
    <row r="9" customFormat="false" ht="15" hidden="false" customHeight="false" outlineLevel="0" collapsed="false">
      <c r="A9" s="7" t="s">
        <v>9</v>
      </c>
      <c r="B9" s="6" t="s">
        <v>10</v>
      </c>
    </row>
    <row r="10" customFormat="false" ht="15" hidden="false" customHeight="false" outlineLevel="0" collapsed="false">
      <c r="A10" s="8" t="s">
        <v>11</v>
      </c>
      <c r="B10" s="6" t="s">
        <v>12</v>
      </c>
    </row>
    <row r="12" customFormat="false" ht="15" hidden="false" customHeight="false" outlineLevel="0" collapsed="false">
      <c r="A12" s="3" t="s">
        <v>13</v>
      </c>
    </row>
    <row r="13" customFormat="false" ht="26.85" hidden="false" customHeight="false" outlineLevel="0" collapsed="false">
      <c r="A13" s="3" t="s">
        <v>14</v>
      </c>
      <c r="B13" s="9" t="s">
        <v>15</v>
      </c>
    </row>
    <row r="14" customFormat="false" ht="15" hidden="false" customHeight="false" outlineLevel="0" collapsed="false">
      <c r="A14" s="3" t="s">
        <v>16</v>
      </c>
      <c r="B14" s="9" t="s">
        <v>17</v>
      </c>
    </row>
    <row r="15" customFormat="false" ht="15" hidden="false" customHeight="false" outlineLevel="0" collapsed="false">
      <c r="A15" s="3" t="s">
        <v>18</v>
      </c>
      <c r="B15" s="9" t="s">
        <v>19</v>
      </c>
    </row>
    <row r="16" customFormat="false" ht="15" hidden="false" customHeight="false" outlineLevel="0" collapsed="false">
      <c r="A16" s="3" t="s">
        <v>20</v>
      </c>
      <c r="B16" s="9" t="s">
        <v>21</v>
      </c>
    </row>
    <row r="17" customFormat="false" ht="26.85" hidden="false" customHeight="false" outlineLevel="0" collapsed="false">
      <c r="A17" s="3" t="s">
        <v>22</v>
      </c>
      <c r="B17" s="9" t="s">
        <v>23</v>
      </c>
    </row>
    <row r="18" customFormat="false" ht="15" hidden="false" customHeight="false" outlineLevel="0" collapsed="false">
      <c r="A18" s="3" t="s">
        <v>24</v>
      </c>
      <c r="B18" s="9" t="s">
        <v>25</v>
      </c>
    </row>
    <row r="19" customFormat="false" ht="15" hidden="false" customHeight="false" outlineLevel="0" collapsed="false">
      <c r="A19" s="3" t="s">
        <v>26</v>
      </c>
      <c r="B19" s="9" t="s">
        <v>27</v>
      </c>
    </row>
    <row r="20" customFormat="false" ht="15" hidden="false" customHeight="false" outlineLevel="0" collapsed="false">
      <c r="A20" s="3" t="s">
        <v>28</v>
      </c>
      <c r="B20" s="9" t="s">
        <v>29</v>
      </c>
    </row>
    <row r="21" customFormat="false" ht="15" hidden="false" customHeight="false" outlineLevel="0" collapsed="false">
      <c r="A21" s="3" t="s">
        <v>30</v>
      </c>
      <c r="B21" s="9" t="s">
        <v>31</v>
      </c>
    </row>
    <row r="22" customFormat="false" ht="15" hidden="false" customHeight="false" outlineLevel="0" collapsed="false">
      <c r="A22" s="3" t="s">
        <v>32</v>
      </c>
      <c r="B22" s="9" t="s">
        <v>33</v>
      </c>
    </row>
    <row r="23" customFormat="false" ht="15" hidden="false" customHeight="false" outlineLevel="0" collapsed="false">
      <c r="A23" s="3" t="s">
        <v>34</v>
      </c>
      <c r="B23" s="9" t="s">
        <v>35</v>
      </c>
    </row>
    <row r="24" customFormat="false" ht="15" hidden="false" customHeight="false" outlineLevel="0" collapsed="false">
      <c r="A24" s="3" t="s">
        <v>36</v>
      </c>
      <c r="B24" s="9" t="s">
        <v>37</v>
      </c>
    </row>
    <row r="26" customFormat="false" ht="26.85" hidden="false" customHeight="false" outlineLevel="0" collapsed="false">
      <c r="A26" s="3" t="s">
        <v>38</v>
      </c>
      <c r="B26" s="9" t="s">
        <v>39</v>
      </c>
    </row>
    <row r="27" customFormat="false" ht="26.85" hidden="false" customHeight="false" outlineLevel="0" collapsed="false">
      <c r="A27" s="3" t="s">
        <v>36</v>
      </c>
      <c r="B27" s="9" t="s">
        <v>40</v>
      </c>
    </row>
    <row r="28" customFormat="false" ht="39.55" hidden="false" customHeight="false" outlineLevel="0" collapsed="false">
      <c r="A28" s="3" t="s">
        <v>41</v>
      </c>
      <c r="B28" s="9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18"/>
    <col collapsed="false" customWidth="true" hidden="false" outlineLevel="0" max="10" min="10" style="0" width="30"/>
    <col collapsed="false" customWidth="true" hidden="false" outlineLevel="0" max="12" min="11" style="0" width="14"/>
    <col collapsed="false" customWidth="true" hidden="false" outlineLevel="0" max="13" min="13" style="0" width="20"/>
    <col collapsed="false" customWidth="true" hidden="false" outlineLevel="0" max="14" min="14" style="0" width="24"/>
    <col collapsed="false" customWidth="true" hidden="false" outlineLevel="0" max="16" min="15" style="0" width="14"/>
    <col collapsed="false" customWidth="true" hidden="false" outlineLevel="0" max="17" min="17" style="0" width="34"/>
  </cols>
  <sheetData>
    <row r="1" customFormat="false" ht="19.7" hidden="false" customHeight="false" outlineLevel="0" collapsed="false">
      <c r="A1" s="1" t="s">
        <v>43</v>
      </c>
    </row>
    <row r="2" customFormat="false" ht="16.15" hidden="false" customHeight="false" outlineLevel="0" collapsed="false">
      <c r="A2" s="3" t="s">
        <v>44</v>
      </c>
      <c r="B2" s="10" t="inlineStr">
        <is>
          <t xml:space="preserve">Sistema de Trazabilidad y Alerta en Montaña (Parque Mahuida)</t>
        </is>
      </c>
      <c r="E2" s="3" t="s">
        <v>46</v>
      </c>
      <c r="F2" s="11" t="n">
        <f aca="false">SUM(L9:L208)</f>
        <v>432314</v>
      </c>
    </row>
    <row r="3" customFormat="false" ht="15" hidden="false" customHeight="false" outlineLevel="0" collapsed="false">
      <c r="A3" s="3" t="s">
        <v>47</v>
      </c>
      <c r="B3" s="10" t="inlineStr">
        <is>
          <t xml:space="preserve">Victoria Atala, Valeria Cheetham, Maximiliano Greve, Laura Hoppe</t>
        </is>
      </c>
      <c r="E3" s="3" t="s">
        <v>49</v>
      </c>
      <c r="F3" s="12" t="n">
        <f aca="false">COUNTA(D9:D208)</f>
        <v>36</v>
      </c>
    </row>
    <row r="4" customFormat="false" ht="15" hidden="false" customHeight="false" outlineLevel="0" collapsed="false">
      <c r="A4" s="3" t="s">
        <v>50</v>
      </c>
      <c r="B4" s="10" t="inlineStr">
        <is>
          <t xml:space="preserve">BOM_v1.1</t>
        </is>
      </c>
      <c r="E4" s="3" t="s">
        <v>52</v>
      </c>
      <c r="F4" s="12" t="n">
        <f aca="false">SUMPRODUCT((D9:D208&lt;&gt;"")*(K9:K208=""))</f>
        <v>0</v>
      </c>
    </row>
    <row r="5" customFormat="false" ht="15" hidden="false" customHeight="false" outlineLevel="0" collapsed="false">
      <c r="A5" s="3" t="s">
        <v>53</v>
      </c>
      <c r="B5" s="10" t="inlineStr">
        <is>
          <t xml:space="preserve">01-10-2026</t>
        </is>
      </c>
      <c r="E5" s="3" t="s">
        <v>55</v>
      </c>
      <c r="F5" s="12" t="n">
        <f aca="false">COUNTIF(P9:P208,"Revisar")</f>
        <v>0</v>
      </c>
    </row>
    <row r="8" customFormat="false" ht="33.75" hidden="false" customHeight="true" outlineLevel="0" collapsed="false">
      <c r="A8" s="13" t="s">
        <v>14</v>
      </c>
      <c r="B8" s="13" t="s">
        <v>16</v>
      </c>
      <c r="C8" s="13" t="s">
        <v>18</v>
      </c>
      <c r="D8" s="13" t="s">
        <v>20</v>
      </c>
      <c r="E8" s="13" t="s">
        <v>22</v>
      </c>
      <c r="F8" s="13" t="s">
        <v>24</v>
      </c>
      <c r="G8" s="13" t="s">
        <v>56</v>
      </c>
      <c r="H8" s="13" t="s">
        <v>57</v>
      </c>
      <c r="I8" s="13" t="s">
        <v>58</v>
      </c>
      <c r="J8" s="13" t="s">
        <v>59</v>
      </c>
      <c r="K8" s="13" t="s">
        <v>60</v>
      </c>
      <c r="L8" s="13" t="s">
        <v>61</v>
      </c>
      <c r="M8" s="13" t="s">
        <v>62</v>
      </c>
      <c r="N8" s="13" t="s">
        <v>63</v>
      </c>
      <c r="O8" s="13" t="s">
        <v>34</v>
      </c>
      <c r="P8" s="13" t="s">
        <v>36</v>
      </c>
      <c r="Q8" s="13" t="s">
        <v>64</v>
      </c>
    </row>
    <row r="9" customFormat="false" ht="56.0" hidden="false" customHeight="true" outlineLevel="0" collapsed="false">
      <c r="A9" s="14" t="inlineStr">
        <is>
          <t xml:space="preserve">E01</t>
        </is>
      </c>
      <c r="B9" s="14" t="inlineStr">
        <is>
          <t xml:space="preserve">Electrónica</t>
        </is>
      </c>
      <c r="C9" s="15" t="inlineStr">
        <is>
          <t xml:space="preserve">Procesar y comunicar vía LoRa</t>
        </is>
      </c>
      <c r="D9" s="14" t="inlineStr">
        <is>
          <t xml:space="preserve">Microcontrolador LoRa del tótem</t>
        </is>
      </c>
      <c r="E9" s="15" t="inlineStr">
        <is>
          <t xml:space="preserve">Heltec WiFi LoRa 32 V3 (ESP32-S3 + SX1262 LoRa 915 MHz + OLED 0.96" + BLE 5). Incluye antena y conector de batería</t>
        </is>
      </c>
      <c r="F9" s="14" t="inlineStr">
        <is>
          <t xml:space="preserve">Heltec Automation / WiFi LoRa 32 V3</t>
        </is>
      </c>
      <c r="G9" s="16" t="n">
        <v>2</v>
      </c>
      <c r="H9" s="14" t="inlineStr">
        <is>
          <t xml:space="preserve">un.</t>
        </is>
      </c>
      <c r="I9" s="14" t="inlineStr">
        <is>
          <t xml:space="preserve">Zona Industrial</t>
        </is>
      </c>
      <c r="J9" s="14" t="inlineStr">
        <is>
          <t xml:space="preserve">https://www.zonaindustrial.cl/shop/heltec-wi-fi-lora-32-v3-meshtastic-con-carcasa-y-antena-57777</t>
        </is>
      </c>
      <c r="K9" s="17" t="n">
        <v>38080</v>
      </c>
      <c r="L9" s="18" t="n">
        <f aca="false">IF(OR(G9="",K9=""),"",G9*K9)</f>
        <v>76160</v>
      </c>
      <c r="M9" s="14" t="inlineStr">
        <is>
          <t xml:space="preserve">Disponible en Chile</t>
        </is>
      </c>
      <c r="N9" s="15" t="inlineStr">
        <is>
          <t xml:space="preserve">Heltec V4 (comprobar stock); HUBOT $33.400 (agotado)</t>
        </is>
      </c>
      <c r="O9" s="14" t="inlineStr">
        <is>
          <t xml:space="preserve">Cotizado</t>
        </is>
      </c>
      <c r="P9" s="19" t="str">
        <f aca="false">IF(C9="","",IF(COUNTIF(Trazabilidad!$A$5:$A$60,C9)&gt;0,"✓","Revisar"))</f>
        <v>✓</v>
      </c>
      <c r="Q9" s="15" t="inlineStr">
        <is>
          <t xml:space="preserve">Ahora además escanea BLE (clips), lee BME280 y RTC y DECIDE seguro/inseguro. NUNCA transmitir sin antena. Alimentar a 5 V (no 12 V). Con BLE scan activo consume ~0,1–0,15 A: medir.</t>
        </is>
      </c>
    </row>
    <row r="10" customFormat="false" ht="56.0" hidden="false" customHeight="true" outlineLevel="0" collapsed="false">
      <c r="A10" s="14" t="inlineStr">
        <is>
          <t xml:space="preserve">E02</t>
        </is>
      </c>
      <c r="B10" s="14" t="inlineStr">
        <is>
          <t xml:space="preserve">Electrónica</t>
        </is>
      </c>
      <c r="C10" s="15" t="inlineStr">
        <is>
          <t xml:space="preserve">Procesar y comunicar vía LoRa</t>
        </is>
      </c>
      <c r="D10" s="14" t="inlineStr">
        <is>
          <t xml:space="preserve">Microcontrolador LoRa de la base (gateway)</t>
        </is>
      </c>
      <c r="E10" s="15" t="inlineStr">
        <is>
          <t xml:space="preserve">Heltec WiFi LoRa 32 V3, igual al del tótem; conectada por USB al PC</t>
        </is>
      </c>
      <c r="F10" s="14" t="inlineStr">
        <is>
          <t xml:space="preserve">Heltec Automation / WiFi LoRa 32 V3</t>
        </is>
      </c>
      <c r="G10" s="16" t="n">
        <v>1</v>
      </c>
      <c r="H10" s="14" t="inlineStr">
        <is>
          <t xml:space="preserve">un.</t>
        </is>
      </c>
      <c r="I10" s="14" t="inlineStr">
        <is>
          <t xml:space="preserve">Zona Industrial</t>
        </is>
      </c>
      <c r="J10" s="14" t="inlineStr">
        <is>
          <t xml:space="preserve">https://www.zonaindustrial.cl/shop/heltec-wi-fi-lora-32-v3-meshtastic-con-carcasa-y-antena-57777</t>
        </is>
      </c>
      <c r="K10" s="17" t="n">
        <v>38080</v>
      </c>
      <c r="L10" s="18" t="n">
        <f aca="false">IF(OR(G10="",K10=""),"",G10*K10)</f>
        <v>38080</v>
      </c>
      <c r="M10" s="14" t="inlineStr">
        <is>
          <t xml:space="preserve">Disponible en Chile</t>
        </is>
      </c>
      <c r="N10" s="15" t="inlineStr">
        <is>
          <t xml:space="preserve">HUBOT $33.400 (agotado)</t>
        </is>
      </c>
      <c r="O10" s="14" t="inlineStr">
        <is>
          <t xml:space="preserve">Cotizado</t>
        </is>
      </c>
      <c r="P10" s="19" t="str">
        <f aca="false">IF(C10="","",IF(COUNTIF(Trazabilidad!$A$5:$A$60,C10)&gt;0,"✓","Revisar"))</f>
        <v>✓</v>
      </c>
      <c r="Q10" s="15" t="inlineStr">
        <is>
          <t xml:space="preserve">En v01 era una de las 2 Heltec de E01; se separa para trazar la base. Recibe LoRa de los tótems y los entrega al PC por USB. Puede escanear BLE en la caseta para detectar el regreso del clip.</t>
        </is>
      </c>
    </row>
    <row r="11" customFormat="false" ht="42.5" hidden="false" customHeight="true" outlineLevel="0" collapsed="false">
      <c r="A11" s="14" t="inlineStr">
        <is>
          <t xml:space="preserve">E03</t>
        </is>
      </c>
      <c r="B11" s="14" t="inlineStr">
        <is>
          <t xml:space="preserve">Electrónica</t>
        </is>
      </c>
      <c r="C11" s="15" t="inlineStr">
        <is>
          <t xml:space="preserve">Identificar paso de senderista (clip BLE)</t>
        </is>
      </c>
      <c r="D11" s="14" t="inlineStr">
        <is>
          <t xml:space="preserve">Microcontrolador BLE del clip</t>
        </is>
      </c>
      <c r="E11" s="15" t="inlineStr">
        <is>
          <t xml:space="preserve">Seeed XIAO ESP32-C3 (BLE 5, cargador LiPo integrado, 21x17.8 mm)</t>
        </is>
      </c>
      <c r="F11" s="14" t="inlineStr">
        <is>
          <t xml:space="preserve">Seeed Studio / XIAO ESP32-C3</t>
        </is>
      </c>
      <c r="G11" s="16" t="n">
        <v>3</v>
      </c>
      <c r="H11" s="14" t="inlineStr">
        <is>
          <t xml:space="preserve">un.</t>
        </is>
      </c>
      <c r="I11" s="14" t="inlineStr">
        <is>
          <t xml:space="preserve">MechatronicStore</t>
        </is>
      </c>
      <c r="J11" s="14" t="inlineStr">
        <is>
          <t xml:space="preserve">https://www.mechatronicstore.cl/seeed-studio-xiao-esp32-c3/</t>
        </is>
      </c>
      <c r="K11" s="17" t="n">
        <v>9490</v>
      </c>
      <c r="L11" s="18" t="n">
        <f aca="false">IF(OR(G11="",K11=""),"",G11*K11)</f>
        <v>28470</v>
      </c>
      <c r="M11" s="14" t="inlineStr">
        <is>
          <t xml:space="preserve">Disponible en Chile</t>
        </is>
      </c>
      <c r="N11" s="15" t="inlineStr">
        <is>
          <t xml:space="preserve">XIAO nRF52840; beacon pasivo Altronics BCN02 $18.257 (no recibe alertas)</t>
        </is>
      </c>
      <c r="O11" s="14" t="inlineStr">
        <is>
          <t xml:space="preserve">Cotizado</t>
        </is>
      </c>
      <c r="P11" s="19" t="str">
        <f aca="false">IF(C11="","",IF(COUNTIF(Trazabilidad!$A$5:$A$60,C11)&gt;0,"✓","Revisar"))</f>
        <v>✓</v>
      </c>
      <c r="Q11" s="15" t="inlineStr">
        <is>
          <t xml:space="preserve">Reemplaza al lector RFID RC522 y a la pulsera pasiva. Emite su ID por BLE cada ~1 s y escucha si el tótem avisa "condición insegura". Requiere programarlo (Arduino).</t>
        </is>
      </c>
    </row>
    <row r="12" customFormat="false" ht="42.5" hidden="false" customHeight="true" outlineLevel="0" collapsed="false">
      <c r="A12" s="14" t="inlineStr">
        <is>
          <t xml:space="preserve">E04</t>
        </is>
      </c>
      <c r="B12" s="14" t="inlineStr">
        <is>
          <t xml:space="preserve">Electrónica</t>
        </is>
      </c>
      <c r="C12" s="15" t="inlineStr">
        <is>
          <t xml:space="preserve">Alimentar y encender el clip</t>
        </is>
      </c>
      <c r="D12" s="14" t="inlineStr">
        <is>
          <t xml:space="preserve">Batería LiPo del clip</t>
        </is>
      </c>
      <c r="E12" s="15" t="inlineStr">
        <is>
          <t xml:space="preserve">LiPo plana 3.7 V 400–600 mAh, conector JST PH2.0, con protección</t>
        </is>
      </c>
      <c r="F12" s="14" t="inlineStr">
        <is>
          <t xml:space="preserve">Genérico</t>
        </is>
      </c>
      <c r="G12" s="16" t="n">
        <v>3</v>
      </c>
      <c r="H12" s="14" t="inlineStr">
        <is>
          <t xml:space="preserve">un.</t>
        </is>
      </c>
      <c r="I12" s="14" t="inlineStr">
        <is>
          <t xml:space="preserve">HUBOT (buscar)</t>
        </is>
      </c>
      <c r="J12" s="14" t="inlineStr">
        <is>
          <t xml:space="preserve">https://hubot.cl/categoria-producto/insumos-y-accesorios/baterias-pilas/</t>
        </is>
      </c>
      <c r="K12" s="17" t="n">
        <v>5000</v>
      </c>
      <c r="L12" s="18" t="n">
        <f aca="false">IF(OR(G12="",K12=""),"",G12*K12)</f>
        <v>15000</v>
      </c>
      <c r="M12" s="14" t="inlineStr">
        <is>
          <t xml:space="preserve">Por verificar</t>
        </is>
      </c>
      <c r="N12" s="15" t="inlineStr">
        <is>
          <t xml:space="preserve">18650 + portapila ($690 HUBOT; clip más grueso)</t>
        </is>
      </c>
      <c r="O12" s="14" t="inlineStr">
        <is>
          <t xml:space="preserve">Por cotizar</t>
        </is>
      </c>
      <c r="P12" s="19" t="str">
        <f aca="false">IF(C12="","",IF(COUNTIF(Trazabilidad!$A$5:$A$60,C12)&gt;0,"✓","Revisar"))</f>
        <v>✓</v>
      </c>
      <c r="Q12" s="15" t="inlineStr">
        <is>
          <t xml:space="preserve">No hallé LiPo chica con ficha en tienda chilena. Revisar polaridad ANTES de conectar al XIAO (cada fabricante invierte los cables). Precio estimado, no verificado.</t>
        </is>
      </c>
    </row>
    <row r="13" customFormat="false" ht="56.0" hidden="false" customHeight="true" outlineLevel="0" collapsed="false">
      <c r="A13" s="14" t="inlineStr">
        <is>
          <t xml:space="preserve">E05</t>
        </is>
      </c>
      <c r="B13" s="14" t="inlineStr">
        <is>
          <t xml:space="preserve">Electrónica</t>
        </is>
      </c>
      <c r="C13" s="15" t="inlineStr">
        <is>
          <t xml:space="preserve">Medir clima y presión atmosférica</t>
        </is>
      </c>
      <c r="D13" s="14" t="inlineStr">
        <is>
          <t xml:space="preserve">Sensor ambiental barométrico</t>
        </is>
      </c>
      <c r="E13" s="15" t="inlineStr">
        <is>
          <t xml:space="preserve">Sensor BME280 (presión, temperatura, humedad; I2C, 3.3 V)</t>
        </is>
      </c>
      <c r="F13" s="14" t="inlineStr">
        <is>
          <t xml:space="preserve">Bosch Sensortec / BME280</t>
        </is>
      </c>
      <c r="G13" s="16" t="n">
        <v>2</v>
      </c>
      <c r="H13" s="14" t="inlineStr">
        <is>
          <t xml:space="preserve">un.</t>
        </is>
      </c>
      <c r="I13" s="14" t="inlineStr">
        <is>
          <t xml:space="preserve">Afel Electrónica</t>
        </is>
      </c>
      <c r="J13" s="14" t="inlineStr">
        <is>
          <t xml:space="preserve">https://afel.cl/products/sensor-barometrico-bme280</t>
        </is>
      </c>
      <c r="K13" s="17" t="n">
        <v>8650</v>
      </c>
      <c r="L13" s="18" t="n">
        <f aca="false">IF(OR(G13="",K13=""),"",G13*K13)</f>
        <v>17300</v>
      </c>
      <c r="M13" s="14" t="inlineStr">
        <is>
          <t xml:space="preserve">Disponible en Chile</t>
        </is>
      </c>
      <c r="N13" s="15" t="inlineStr">
        <is>
          <t xml:space="preserve">MechatronicStore $8.690 (sin stock al revisar)</t>
        </is>
      </c>
      <c r="O13" s="14" t="inlineStr">
        <is>
          <t xml:space="preserve">Cotizado</t>
        </is>
      </c>
      <c r="P13" s="19" t="str">
        <f aca="false">IF(C13="","",IF(COUNTIF(Trazabilidad!$A$5:$A$60,C13)&gt;0,"✓","Revisar"))</f>
        <v>✓</v>
      </c>
      <c r="Q13" s="15" t="inlineStr">
        <is>
          <t xml:space="preserve">Cantidad 1→2 (uno por tótem). Debe ir FUERA de la caja sellada o con visera ventilada (sin impresión 3D: p. ej. caja plástica abierta por abajo), si no se calienta y miente. Dirección I2C 0x76/0x77.</t>
        </is>
      </c>
    </row>
    <row r="14" customFormat="false" ht="56.0" hidden="false" customHeight="true" outlineLevel="0" collapsed="false">
      <c r="A14" s="14" t="inlineStr">
        <is>
          <t xml:space="preserve">E06</t>
        </is>
      </c>
      <c r="B14" s="14" t="inlineStr">
        <is>
          <t xml:space="preserve">Electrónica</t>
        </is>
      </c>
      <c r="C14" s="15" t="inlineStr">
        <is>
          <t xml:space="preserve">Poner hora real y guardar registros (RTC)</t>
        </is>
      </c>
      <c r="D14" s="14" t="inlineStr">
        <is>
          <t xml:space="preserve">Reloj de tiempo real (RTC)</t>
        </is>
      </c>
      <c r="E14" s="15" t="inlineStr">
        <is>
          <t xml:space="preserve">Módulo DS3231 I2C con pila CR2032</t>
        </is>
      </c>
      <c r="F14" s="14" t="inlineStr">
        <is>
          <t xml:space="preserve">Maxim / DS3231</t>
        </is>
      </c>
      <c r="G14" s="16" t="n">
        <v>2</v>
      </c>
      <c r="H14" s="14" t="inlineStr">
        <is>
          <t xml:space="preserve">un.</t>
        </is>
      </c>
      <c r="I14" s="14" t="inlineStr">
        <is>
          <t xml:space="preserve">AFEL</t>
        </is>
      </c>
      <c r="J14" s="14" t="inlineStr">
        <is>
          <t xml:space="preserve">https://afel.cl/collections/rtc</t>
        </is>
      </c>
      <c r="K14" s="17" t="n">
        <v>3500</v>
      </c>
      <c r="L14" s="18" t="n">
        <f aca="false">IF(OR(G14="",K14=""),"",G14*K14)</f>
        <v>7000</v>
      </c>
      <c r="M14" s="14" t="inlineStr">
        <is>
          <t xml:space="preserve">Por verificar</t>
        </is>
      </c>
      <c r="N14" s="15" t="inlineStr">
        <is>
          <t xml:space="preserve">Hora por NTP desde el PC vía LoRa (menos preciso)</t>
        </is>
      </c>
      <c r="O14" s="14" t="inlineStr">
        <is>
          <t xml:space="preserve">Por cotizar</t>
        </is>
      </c>
      <c r="P14" s="19" t="str">
        <f aca="false">IF(C14="","",IF(COUNTIF(Trazabilidad!$A$5:$A$60,C14)&gt;0,"✓","Revisar"))</f>
        <v>✓</v>
      </c>
      <c r="Q14" s="15" t="inlineStr">
        <is>
          <t xml:space="preserve">Sin RTC, si se corta el enlace con el PC el tótem no sabe la hora y "guardar y reenviar" no sirve. Comparte bus I2C con el BME280. Incluir pila CR2032. Precio estimado, no verificado.</t>
        </is>
      </c>
    </row>
    <row r="15" customFormat="false" ht="56.0" hidden="false" customHeight="true" outlineLevel="0" collapsed="false">
      <c r="A15" s="14" t="inlineStr">
        <is>
          <t xml:space="preserve">E07</t>
        </is>
      </c>
      <c r="B15" s="14" t="inlineStr">
        <is>
          <t xml:space="preserve">Electrónica</t>
        </is>
      </c>
      <c r="C15" s="15" t="inlineStr">
        <is>
          <t xml:space="preserve">Emitir señal de auxilio manual (SOS en tótem)</t>
        </is>
      </c>
      <c r="D15" s="14" t="inlineStr">
        <is>
          <t xml:space="preserve">Pulsador SOS del tótem</t>
        </is>
      </c>
      <c r="E15" s="15" t="inlineStr">
        <is>
          <t xml:space="preserve">Pulsador 22 mm NA con tapa de protección, IP65, 5–24 V (rojo)</t>
        </is>
      </c>
      <c r="F15" s="14" t="inlineStr">
        <is>
          <t xml:space="preserve">Genérico</t>
        </is>
      </c>
      <c r="G15" s="16" t="n">
        <v>2</v>
      </c>
      <c r="H15" s="14" t="inlineStr">
        <is>
          <t xml:space="preserve">un.</t>
        </is>
      </c>
      <c r="I15" s="14" t="inlineStr">
        <is>
          <t xml:space="preserve">Zona Industrial</t>
        </is>
      </c>
      <c r="J15" s="14" t="inlineStr">
        <is>
          <t xml:space="preserve">https://www.zonaindustrial.cl/shop/category/4324</t>
        </is>
      </c>
      <c r="K15" s="17" t="n">
        <v>5000</v>
      </c>
      <c r="L15" s="18" t="n">
        <f aca="false">IF(OR(G15="",K15=""),"",G15*K15)</f>
        <v>10000</v>
      </c>
      <c r="M15" s="14" t="inlineStr">
        <is>
          <t xml:space="preserve">Por verificar</t>
        </is>
      </c>
      <c r="N15" s="15" t="inlineStr">
        <is>
          <t xml:space="preserve">Pulsador metálico 16 mm IP65 (el de v01, $2.990)</t>
        </is>
      </c>
      <c r="O15" s="14" t="inlineStr">
        <is>
          <t xml:space="preserve">Por cotizar</t>
        </is>
      </c>
      <c r="P15" s="19" t="str">
        <f aca="false">IF(C15="","",IF(COUNTIF(Trazabilidad!$A$5:$A$60,C15)&gt;0,"✓","Revisar"))</f>
        <v>✓</v>
      </c>
      <c r="Q15" s="15" t="inlineStr">
        <is>
          <t xml:space="preserve">Cant. 1→2 (SOS en cada tótem). Contacto NA a GPIO con pull-up; exigir pulsación ~3 s para evitar falsos SOS. Reemplaza a E05 de v01 (que tenía MPN erróneo WS2812B y enlace a la portada). Precio estimado, no verificado.</t>
        </is>
      </c>
    </row>
    <row r="16" customFormat="false" ht="42.5" hidden="false" customHeight="true" outlineLevel="0" collapsed="false">
      <c r="A16" s="14" t="inlineStr">
        <is>
          <t xml:space="preserve">E08</t>
        </is>
      </c>
      <c r="B16" s="14" t="inlineStr">
        <is>
          <t xml:space="preserve">Electrónica</t>
        </is>
      </c>
      <c r="C16" s="15" t="inlineStr">
        <is>
          <t xml:space="preserve">Mostrar estado y alertas locales</t>
        </is>
      </c>
      <c r="D16" s="14" t="inlineStr">
        <is>
          <t xml:space="preserve">LED RGB de estado + resistencias</t>
        </is>
      </c>
      <c r="E16" s="15" t="inlineStr">
        <is>
          <t xml:space="preserve">LED RGB ánodo común 10 mm + resistencias 220 Ω</t>
        </is>
      </c>
      <c r="F16" s="14" t="inlineStr">
        <is>
          <t xml:space="preserve">Genérico</t>
        </is>
      </c>
      <c r="G16" s="16" t="n">
        <v>2</v>
      </c>
      <c r="H16" s="14" t="inlineStr">
        <is>
          <t xml:space="preserve">set</t>
        </is>
      </c>
      <c r="I16" s="14" t="inlineStr">
        <is>
          <t xml:space="preserve">AFEL</t>
        </is>
      </c>
      <c r="J16" s="14" t="inlineStr">
        <is>
          <t xml:space="preserve">https://afel.cl/collections/leds</t>
        </is>
      </c>
      <c r="K16" s="17" t="n">
        <v>1500</v>
      </c>
      <c r="L16" s="18" t="n">
        <f aca="false">IF(OR(G16="",K16=""),"",G16*K16)</f>
        <v>3000</v>
      </c>
      <c r="M16" s="14" t="inlineStr">
        <is>
          <t xml:space="preserve">Por verificar</t>
        </is>
      </c>
      <c r="N16" s="15" t="inlineStr">
        <is>
          <t xml:space="preserve">Módulo 4 LEDs WS2812B (el de v01, $1.000); baliza LED 12 V</t>
        </is>
      </c>
      <c r="O16" s="14" t="inlineStr">
        <is>
          <t xml:space="preserve">Por cotizar</t>
        </is>
      </c>
      <c r="P16" s="19" t="str">
        <f aca="false">IF(C16="","",IF(COUNTIF(Trazabilidad!$A$5:$A$60,C16)&gt;0,"✓","Revisar"))</f>
        <v>✓</v>
      </c>
      <c r="Q16" s="15" t="inlineStr">
        <is>
          <t xml:space="preserve">Verde = seguro, ámbar/rojo = condición insegura, azul = SOS enviado. La OLED no se ve a pleno sol: el LED es el aviso principal. Precio estimado, no verificado.</t>
        </is>
      </c>
    </row>
    <row r="17" customFormat="false" ht="42.5" hidden="false" customHeight="true" outlineLevel="0" collapsed="false">
      <c r="A17" s="14" t="inlineStr">
        <is>
          <t xml:space="preserve">E09</t>
        </is>
      </c>
      <c r="B17" s="14" t="inlineStr">
        <is>
          <t xml:space="preserve">Electrónica</t>
        </is>
      </c>
      <c r="C17" s="15" t="inlineStr">
        <is>
          <t xml:space="preserve">Mostrar estado y alertas locales</t>
        </is>
      </c>
      <c r="D17" s="14" t="inlineStr">
        <is>
          <t xml:space="preserve">Buzzer del tótem (alto volumen)</t>
        </is>
      </c>
      <c r="E17" s="15" t="inlineStr">
        <is>
          <t xml:space="preserve">Buzzer activo 5 V ~85–90 dB</t>
        </is>
      </c>
      <c r="F17" s="14" t="inlineStr">
        <is>
          <t xml:space="preserve">Genérico</t>
        </is>
      </c>
      <c r="G17" s="16" t="n">
        <v>2</v>
      </c>
      <c r="H17" s="14" t="inlineStr">
        <is>
          <t xml:space="preserve">un.</t>
        </is>
      </c>
      <c r="I17" s="14" t="inlineStr">
        <is>
          <t xml:space="preserve">AFEL</t>
        </is>
      </c>
      <c r="J17" s="14" t="inlineStr">
        <is>
          <t xml:space="preserve">https://afel.cl/collections/buzzer-zumbador</t>
        </is>
      </c>
      <c r="K17" s="17" t="n">
        <v>1500</v>
      </c>
      <c r="L17" s="18" t="n">
        <f aca="false">IF(OR(G17="",K17=""),"",G17*K17)</f>
        <v>3000</v>
      </c>
      <c r="M17" s="14" t="inlineStr">
        <is>
          <t xml:space="preserve">Por verificar</t>
        </is>
      </c>
      <c r="N17" s="15" t="inlineStr">
        <is>
          <t xml:space="preserve">Sirena piezo 12 V</t>
        </is>
      </c>
      <c r="O17" s="14" t="inlineStr">
        <is>
          <t xml:space="preserve">Por cotizar</t>
        </is>
      </c>
      <c r="P17" s="19" t="str">
        <f aca="false">IF(C17="","",IF(COUNTIF(Trazabilidad!$A$5:$A$60,C17)&gt;0,"✓","Revisar"))</f>
        <v>✓</v>
      </c>
      <c r="Q17" s="15" t="inlineStr">
        <is>
          <t xml:space="preserve">NO se conecta directo al GPIO (3.3 V, pocos mA): va por transistor (E10). Cant. 1→2. Precio estimado, no verificado.</t>
        </is>
      </c>
    </row>
    <row r="18" customFormat="false" ht="42.5" hidden="false" customHeight="true" outlineLevel="0" collapsed="false">
      <c r="A18" s="14" t="inlineStr">
        <is>
          <t xml:space="preserve">E10</t>
        </is>
      </c>
      <c r="B18" s="14" t="inlineStr">
        <is>
          <t xml:space="preserve">Electrónica</t>
        </is>
      </c>
      <c r="C18" s="15" t="inlineStr">
        <is>
          <t xml:space="preserve">Mostrar estado y alertas locales</t>
        </is>
      </c>
      <c r="D18" s="14" t="inlineStr">
        <is>
          <t xml:space="preserve">Transistores / módulo MOSFET</t>
        </is>
      </c>
      <c r="E18" s="15" t="inlineStr">
        <is>
          <t xml:space="preserve">Set 2N2222 (o módulo MOSFET) + resistencias de base</t>
        </is>
      </c>
      <c r="F18" s="14" t="inlineStr">
        <is>
          <t xml:space="preserve">Genérico</t>
        </is>
      </c>
      <c r="G18" s="16" t="n">
        <v>2</v>
      </c>
      <c r="H18" s="14" t="inlineStr">
        <is>
          <t xml:space="preserve">set</t>
        </is>
      </c>
      <c r="I18" s="14" t="inlineStr">
        <is>
          <t xml:space="preserve">AFEL</t>
        </is>
      </c>
      <c r="J18" s="14" t="inlineStr">
        <is>
          <t xml:space="preserve">https://afel.cl/collections/mosfet</t>
        </is>
      </c>
      <c r="K18" s="17" t="n">
        <v>1500</v>
      </c>
      <c r="L18" s="18" t="n">
        <f aca="false">IF(OR(G18="",K18=""),"",G18*K18)</f>
        <v>3000</v>
      </c>
      <c r="M18" s="14" t="inlineStr">
        <is>
          <t xml:space="preserve">Por verificar</t>
        </is>
      </c>
      <c r="N18" s="15" t="inlineStr">
        <is>
          <t xml:space="preserve">Módulo relé 5 V</t>
        </is>
      </c>
      <c r="O18" s="14" t="inlineStr">
        <is>
          <t xml:space="preserve">Por cotizar</t>
        </is>
      </c>
      <c r="P18" s="19" t="str">
        <f aca="false">IF(C18="","",IF(COUNTIF(Trazabilidad!$A$5:$A$60,C18)&gt;0,"✓","Revisar"))</f>
        <v>✓</v>
      </c>
      <c r="Q18" s="15" t="inlineStr">
        <is>
          <t xml:space="preserve">Faltaba en v1.0: un GPIO no entrega corriente suficiente para buzzer fuerte ni LED de alto brillo. Precio estimado, no verificado.</t>
        </is>
      </c>
    </row>
    <row r="19" customFormat="false" ht="42.5" hidden="false" customHeight="true" outlineLevel="0" collapsed="false">
      <c r="A19" s="14" t="inlineStr">
        <is>
          <t xml:space="preserve">E11</t>
        </is>
      </c>
      <c r="B19" s="14" t="inlineStr">
        <is>
          <t xml:space="preserve">Electrónica</t>
        </is>
      </c>
      <c r="C19" s="15" t="inlineStr">
        <is>
          <t xml:space="preserve">Alertar al senderista con pitido (clip)</t>
        </is>
      </c>
      <c r="D19" s="14" t="inlineStr">
        <is>
          <t xml:space="preserve">Buzzer del clip</t>
        </is>
      </c>
      <c r="E19" s="15" t="inlineStr">
        <is>
          <t xml:space="preserve">Buzzer activo piezo 3–5 V ~12 mm</t>
        </is>
      </c>
      <c r="F19" s="14" t="inlineStr">
        <is>
          <t xml:space="preserve">Genérico</t>
        </is>
      </c>
      <c r="G19" s="16" t="n">
        <v>3</v>
      </c>
      <c r="H19" s="14" t="inlineStr">
        <is>
          <t xml:space="preserve">un.</t>
        </is>
      </c>
      <c r="I19" s="14" t="inlineStr">
        <is>
          <t xml:space="preserve">AFEL</t>
        </is>
      </c>
      <c r="J19" s="14" t="inlineStr">
        <is>
          <t xml:space="preserve">https://afel.cl/collections/buzzer-zumbador</t>
        </is>
      </c>
      <c r="K19" s="17" t="n">
        <v>800</v>
      </c>
      <c r="L19" s="18" t="n">
        <f aca="false">IF(OR(G19="",K19=""),"",G19*K19)</f>
        <v>2400</v>
      </c>
      <c r="M19" s="14" t="inlineStr">
        <is>
          <t xml:space="preserve">Por verificar</t>
        </is>
      </c>
      <c r="N19" s="15" t="inlineStr">
        <is>
          <t xml:space="preserve">Motor de vibración</t>
        </is>
      </c>
      <c r="O19" s="14" t="inlineStr">
        <is>
          <t xml:space="preserve">Por cotizar</t>
        </is>
      </c>
      <c r="P19" s="19" t="str">
        <f aca="false">IF(C19="","",IF(COUNTIF(Trazabilidad!$A$5:$A$60,C19)&gt;0,"✓","Revisar"))</f>
        <v>✓</v>
      </c>
      <c r="Q19" s="15" t="inlineStr">
        <is>
          <t xml:space="preserve">Pita cuando el tótem avisa "condición insegura". Un piezo chico se oye poco con ruido: probar. A GPIO del XIAO (máx ~20 mA). Precio estimado, no verificado.</t>
        </is>
      </c>
    </row>
    <row r="20" customFormat="false" ht="29.0" hidden="false" customHeight="true" outlineLevel="0" collapsed="false">
      <c r="A20" s="14" t="inlineStr">
        <is>
          <t xml:space="preserve">E12</t>
        </is>
      </c>
      <c r="B20" s="14" t="inlineStr">
        <is>
          <t xml:space="preserve">Electrónica</t>
        </is>
      </c>
      <c r="C20" s="15" t="inlineStr">
        <is>
          <t xml:space="preserve">Alimentar y encender el clip</t>
        </is>
      </c>
      <c r="D20" s="14" t="inlineStr">
        <is>
          <t xml:space="preserve">Interruptor del clip</t>
        </is>
      </c>
      <c r="E20" s="15" t="inlineStr">
        <is>
          <t xml:space="preserve">Slide switch mini 3 pines, 1 polo 2 posiciones</t>
        </is>
      </c>
      <c r="F20" s="14" t="inlineStr">
        <is>
          <t xml:space="preserve">Genérico</t>
        </is>
      </c>
      <c r="G20" s="16" t="n">
        <v>3</v>
      </c>
      <c r="H20" s="14" t="inlineStr">
        <is>
          <t xml:space="preserve">un.</t>
        </is>
      </c>
      <c r="I20" s="14" t="inlineStr">
        <is>
          <t xml:space="preserve">AFEL</t>
        </is>
      </c>
      <c r="J20" s="14" t="inlineStr">
        <is>
          <t xml:space="preserve">https://afel.cl/collections/botones-interruptores</t>
        </is>
      </c>
      <c r="K20" s="17" t="n">
        <v>500</v>
      </c>
      <c r="L20" s="18" t="n">
        <f aca="false">IF(OR(G20="",K20=""),"",G20*K20)</f>
        <v>1500</v>
      </c>
      <c r="M20" s="14" t="inlineStr">
        <is>
          <t xml:space="preserve">Por verificar</t>
        </is>
      </c>
      <c r="N20" s="15" t="inlineStr">
        <is>
          <t xml:space="preserve">Apagar quitando la batería</t>
        </is>
      </c>
      <c r="O20" s="14" t="inlineStr">
        <is>
          <t xml:space="preserve">Por cotizar</t>
        </is>
      </c>
      <c r="P20" s="19" t="str">
        <f aca="false">IF(C20="","",IF(COUNTIF(Trazabilidad!$A$5:$A$60,C20)&gt;0,"✓","Revisar"))</f>
        <v>✓</v>
      </c>
      <c r="Q20" s="15" t="inlineStr">
        <is>
          <t xml:space="preserve">En serie con el positivo de la batería; sin él la batería se descarga sola. Precio estimado, no verificado.</t>
        </is>
      </c>
    </row>
    <row r="21" customFormat="false" ht="56.0" hidden="false" customHeight="true" outlineLevel="0" collapsed="false">
      <c r="A21" s="14" t="inlineStr">
        <is>
          <t xml:space="preserve">E13</t>
        </is>
      </c>
      <c r="B21" s="14" t="inlineStr">
        <is>
          <t xml:space="preserve">Electrónica</t>
        </is>
      </c>
      <c r="C21" s="15" t="inlineStr">
        <is>
          <t xml:space="preserve">Procesar y comunicar vía LoRa</t>
        </is>
      </c>
      <c r="D21" s="14" t="inlineStr">
        <is>
          <t xml:space="preserve">Antena LoRa 915 MHz (tótem)</t>
        </is>
      </c>
      <c r="E21" s="15" t="inlineStr">
        <is>
          <t xml:space="preserve">Antena 915 MHz 2.5 dBi SMA</t>
        </is>
      </c>
      <c r="F21" s="14" t="inlineStr">
        <is>
          <t xml:space="preserve">Genérico</t>
        </is>
      </c>
      <c r="G21" s="16" t="n">
        <v>2</v>
      </c>
      <c r="H21" s="14" t="inlineStr">
        <is>
          <t xml:space="preserve">un.</t>
        </is>
      </c>
      <c r="I21" s="14" t="inlineStr">
        <is>
          <t xml:space="preserve">HUBOT</t>
        </is>
      </c>
      <c r="J21" s="14" t="inlineStr">
        <is>
          <t xml:space="preserve">https://hubot.cl/producto/antena-915mhz-2-5dbi-sma-lora-lorawan/</t>
        </is>
      </c>
      <c r="K21" s="17" t="n">
        <v>4990</v>
      </c>
      <c r="L21" s="18" t="n">
        <f aca="false">IF(OR(G21="",K21=""),"",G21*K21)</f>
        <v>9980</v>
      </c>
      <c r="M21" s="14" t="inlineStr">
        <is>
          <t xml:space="preserve">Por verificar</t>
        </is>
      </c>
      <c r="N21" s="15" t="inlineStr">
        <is>
          <t xml:space="preserve">Antena incluida con la Heltec (más corta, menos alcance)</t>
        </is>
      </c>
      <c r="O21" s="14" t="inlineStr">
        <is>
          <t xml:space="preserve">Por cotizar</t>
        </is>
      </c>
      <c r="P21" s="19" t="str">
        <f aca="false">IF(C21="","",IF(COUNTIF(Trazabilidad!$A$5:$A$60,C21)&gt;0,"✓","Revisar"))</f>
        <v>✓</v>
      </c>
      <c r="Q21" s="15" t="inlineStr">
        <is>
          <t xml:space="preserve">Precio estimado. En vertical, lo más alto posible, lejos del panel y la batería. LoRa en Chile = 915 MHz (los módulos de 433 MHz NO sirven). Precio estimado, no verificado.</t>
        </is>
      </c>
    </row>
    <row r="22" customFormat="false" ht="42.5" hidden="false" customHeight="true" outlineLevel="0" collapsed="false">
      <c r="A22" s="14" t="inlineStr">
        <is>
          <t xml:space="preserve">E14</t>
        </is>
      </c>
      <c r="B22" s="14" t="inlineStr">
        <is>
          <t xml:space="preserve">Electrónica</t>
        </is>
      </c>
      <c r="C22" s="15" t="inlineStr">
        <is>
          <t xml:space="preserve">Procesar y comunicar vía LoRa</t>
        </is>
      </c>
      <c r="D22" s="14" t="inlineStr">
        <is>
          <t xml:space="preserve">Pigtail U.FL (IPEX) a SMA (tótem)</t>
        </is>
      </c>
      <c r="E22" s="15" t="inlineStr">
        <is>
          <t xml:space="preserve">Pigtail 15–20 cm IPEX1 a SMA hembra</t>
        </is>
      </c>
      <c r="F22" s="14" t="inlineStr">
        <is>
          <t xml:space="preserve">Genérico</t>
        </is>
      </c>
      <c r="G22" s="16" t="n">
        <v>2</v>
      </c>
      <c r="H22" s="14" t="inlineStr">
        <is>
          <t xml:space="preserve">un.</t>
        </is>
      </c>
      <c r="I22" s="14" t="inlineStr">
        <is>
          <t xml:space="preserve">AFEL</t>
        </is>
      </c>
      <c r="J22" s="14" t="inlineStr">
        <is>
          <t xml:space="preserve">https://afel.cl/collections/antenas</t>
        </is>
      </c>
      <c r="K22" s="17" t="n">
        <v>2500</v>
      </c>
      <c r="L22" s="18" t="n">
        <f aca="false">IF(OR(G22="",K22=""),"",G22*K22)</f>
        <v>5000</v>
      </c>
      <c r="M22" s="14" t="inlineStr">
        <is>
          <t xml:space="preserve">Por verificar</t>
        </is>
      </c>
      <c r="N22" s="15" t="inlineStr">
        <is>
          <t xml:space="preserve">Antena con conector U.FL directo</t>
        </is>
      </c>
      <c r="O22" s="14" t="inlineStr">
        <is>
          <t xml:space="preserve">Por cotizar</t>
        </is>
      </c>
      <c r="P22" s="19" t="str">
        <f aca="false">IF(C22="","",IF(COUNTIF(Trazabilidad!$A$5:$A$60,C22)&gt;0,"✓","Revisar"))</f>
        <v>✓</v>
      </c>
      <c r="Q22" s="15" t="inlineStr">
        <is>
          <t xml:space="preserve">La Heltec V3 trae conector U.FL, no SMA; sin este cable no se usa la antena SMA. Frágil: no reconectar muchas veces. Precio estimado, no verificado.</t>
        </is>
      </c>
    </row>
    <row r="23" customFormat="false" ht="29.0" hidden="false" customHeight="true" outlineLevel="0" collapsed="false">
      <c r="A23" s="14" t="inlineStr">
        <is>
          <t xml:space="preserve">E15</t>
        </is>
      </c>
      <c r="B23" s="14" t="inlineStr">
        <is>
          <t xml:space="preserve">Electrónica</t>
        </is>
      </c>
      <c r="C23" s="15" t="inlineStr">
        <is>
          <t xml:space="preserve">Procesar y comunicar vía LoRa</t>
        </is>
      </c>
      <c r="D23" s="14" t="inlineStr">
        <is>
          <t xml:space="preserve">Antena LoRa 915 MHz (base)</t>
        </is>
      </c>
      <c r="E23" s="15" t="inlineStr">
        <is>
          <t xml:space="preserve">Antena 915 MHz 2.5 dBi SMA</t>
        </is>
      </c>
      <c r="F23" s="14" t="inlineStr">
        <is>
          <t xml:space="preserve">Genérico</t>
        </is>
      </c>
      <c r="G23" s="16" t="n">
        <v>1</v>
      </c>
      <c r="H23" s="14" t="inlineStr">
        <is>
          <t xml:space="preserve">un.</t>
        </is>
      </c>
      <c r="I23" s="14" t="inlineStr">
        <is>
          <t xml:space="preserve">HUBOT</t>
        </is>
      </c>
      <c r="J23" s="14" t="inlineStr">
        <is>
          <t xml:space="preserve">https://hubot.cl/producto/antena-915mhz-2-5dbi-sma-lora-lorawan/</t>
        </is>
      </c>
      <c r="K23" s="17" t="n">
        <v>4990</v>
      </c>
      <c r="L23" s="18" t="n">
        <f aca="false">IF(OR(G23="",K23=""),"",G23*K23)</f>
        <v>4990</v>
      </c>
      <c r="M23" s="14" t="inlineStr">
        <is>
          <t xml:space="preserve">Por verificar</t>
        </is>
      </c>
      <c r="N23" s="15" t="inlineStr">
        <is>
          <t xml:space="preserve">Antena incluida con la Heltec</t>
        </is>
      </c>
      <c r="O23" s="14" t="inlineStr">
        <is>
          <t xml:space="preserve">Por cotizar</t>
        </is>
      </c>
      <c r="P23" s="19" t="str">
        <f aca="false">IF(C23="","",IF(COUNTIF(Trazabilidad!$A$5:$A$60,C23)&gt;0,"✓","Revisar"))</f>
        <v>✓</v>
      </c>
      <c r="Q23" s="15" t="inlineStr">
        <is>
          <t xml:space="preserve">Precio estimado. En ventana o exterior, vertical, con vista al cerro. Precio estimado, no verificado.</t>
        </is>
      </c>
    </row>
    <row r="24" customFormat="false" ht="29.0" hidden="false" customHeight="true" outlineLevel="0" collapsed="false">
      <c r="A24" s="14" t="inlineStr">
        <is>
          <t xml:space="preserve">E16</t>
        </is>
      </c>
      <c r="B24" s="14" t="inlineStr">
        <is>
          <t xml:space="preserve">Electrónica</t>
        </is>
      </c>
      <c r="C24" s="15" t="inlineStr">
        <is>
          <t xml:space="preserve">Procesar y comunicar vía LoRa</t>
        </is>
      </c>
      <c r="D24" s="14" t="inlineStr">
        <is>
          <t xml:space="preserve">Pigtail U.FL (IPEX) a SMA (base)</t>
        </is>
      </c>
      <c r="E24" s="15" t="inlineStr">
        <is>
          <t xml:space="preserve">Pigtail 15–20 cm IPEX1 a SMA hembra</t>
        </is>
      </c>
      <c r="F24" s="14" t="inlineStr">
        <is>
          <t xml:space="preserve">Genérico</t>
        </is>
      </c>
      <c r="G24" s="16" t="n">
        <v>1</v>
      </c>
      <c r="H24" s="14" t="inlineStr">
        <is>
          <t xml:space="preserve">un.</t>
        </is>
      </c>
      <c r="I24" s="14" t="inlineStr">
        <is>
          <t xml:space="preserve">AFEL</t>
        </is>
      </c>
      <c r="J24" s="14" t="inlineStr">
        <is>
          <t xml:space="preserve">https://afel.cl/collections/antenas</t>
        </is>
      </c>
      <c r="K24" s="17" t="n">
        <v>2500</v>
      </c>
      <c r="L24" s="18" t="n">
        <f aca="false">IF(OR(G24="",K24=""),"",G24*K24)</f>
        <v>2500</v>
      </c>
      <c r="M24" s="14" t="inlineStr">
        <is>
          <t xml:space="preserve">Por verificar</t>
        </is>
      </c>
      <c r="N24" s="15" t="inlineStr">
        <is>
          <t xml:space="preserve">Antena con U.FL directo</t>
        </is>
      </c>
      <c r="O24" s="14" t="inlineStr">
        <is>
          <t xml:space="preserve">Por cotizar</t>
        </is>
      </c>
      <c r="P24" s="19" t="str">
        <f aca="false">IF(C24="","",IF(COUNTIF(Trazabilidad!$A$5:$A$60,C24)&gt;0,"✓","Revisar"))</f>
        <v>✓</v>
      </c>
      <c r="Q24" s="15" t="inlineStr">
        <is>
          <t xml:space="preserve">Mismo motivo que E14. Precio estimado, no verificado.</t>
        </is>
      </c>
    </row>
    <row r="25" customFormat="false" ht="42.5" hidden="false" customHeight="true" outlineLevel="0" collapsed="false">
      <c r="A25" s="14" t="inlineStr">
        <is>
          <t xml:space="preserve">E17</t>
        </is>
      </c>
      <c r="B25" s="14" t="inlineStr">
        <is>
          <t xml:space="preserve">Electrónica</t>
        </is>
      </c>
      <c r="C25" s="15" t="inlineStr">
        <is>
          <t xml:space="preserve">Conectar la base (gateway) al PC</t>
        </is>
      </c>
      <c r="D25" s="14" t="inlineStr">
        <is>
          <t xml:space="preserve">Cable USB-C de datos</t>
        </is>
      </c>
      <c r="E25" s="15" t="inlineStr">
        <is>
          <t xml:space="preserve">USB-C a USB-A 1–2 m (datos, no solo carga)</t>
        </is>
      </c>
      <c r="F25" s="14" t="inlineStr">
        <is>
          <t xml:space="preserve">Genérico</t>
        </is>
      </c>
      <c r="G25" s="16" t="n">
        <v>1</v>
      </c>
      <c r="H25" s="14" t="inlineStr">
        <is>
          <t xml:space="preserve">un.</t>
        </is>
      </c>
      <c r="I25" s="14" t="inlineStr">
        <is>
          <t xml:space="preserve">Retail / MercadoLibre</t>
        </is>
      </c>
      <c r="J25" s="14" t="inlineStr">
        <is>
          <t xml:space="preserve">Sin enlace verificado</t>
        </is>
      </c>
      <c r="K25" s="17" t="n">
        <v>3000</v>
      </c>
      <c r="L25" s="18" t="n">
        <f aca="false">IF(OR(G25="",K25=""),"",G25*K25)</f>
        <v>3000</v>
      </c>
      <c r="M25" s="14" t="inlineStr">
        <is>
          <t xml:space="preserve">Por verificar</t>
        </is>
      </c>
      <c r="N25" s="15" t="inlineStr">
        <is>
          <t xml:space="preserve">Cable que ya tengas</t>
        </is>
      </c>
      <c r="O25" s="14" t="inlineStr">
        <is>
          <t xml:space="preserve">Por cotizar</t>
        </is>
      </c>
      <c r="P25" s="19" t="str">
        <f aca="false">IF(C25="","",IF(COUNTIF(Trazabilidad!$A$5:$A$60,C25)&gt;0,"✓","Revisar"))</f>
        <v>✓</v>
      </c>
      <c r="Q25" s="15" t="inlineStr">
        <is>
          <t xml:space="preserve">Muchos cables baratos son solo de carga: si el PC no detecta la placa, es el cable. Precio estimado, no verificado.</t>
        </is>
      </c>
    </row>
    <row r="26" customFormat="false" ht="42.5" hidden="false" customHeight="true" outlineLevel="0" collapsed="false">
      <c r="A26" s="14" t="inlineStr">
        <is>
          <t xml:space="preserve">E18</t>
        </is>
      </c>
      <c r="B26" s="14" t="inlineStr">
        <is>
          <t xml:space="preserve">Electrónica</t>
        </is>
      </c>
      <c r="C26" s="15" t="inlineStr">
        <is>
          <t xml:space="preserve">Alimentar nodo de forma autónoma</t>
        </is>
      </c>
      <c r="D26" s="14" t="inlineStr">
        <is>
          <t xml:space="preserve">Panel solar 20 W 12 V</t>
        </is>
      </c>
      <c r="E26" s="15" t="inlineStr">
        <is>
          <t xml:space="preserve">Monocristalino 20 W, Vmp 17.5 V, 1.16 A, 480x350 mm</t>
        </is>
      </c>
      <c r="F26" s="14" t="inlineStr">
        <is>
          <t xml:space="preserve">Genérico SF-6M20</t>
        </is>
      </c>
      <c r="G26" s="16" t="n">
        <v>2</v>
      </c>
      <c r="H26" s="14" t="inlineStr">
        <is>
          <t xml:space="preserve">un.</t>
        </is>
      </c>
      <c r="I26" s="14" t="inlineStr">
        <is>
          <t xml:space="preserve">Impotec</t>
        </is>
      </c>
      <c r="J26" s="14" t="inlineStr">
        <is>
          <t xml:space="preserve">https://www.impotec.cl/product/panel-solar-monocristalino-20w-12v</t>
        </is>
      </c>
      <c r="K26" s="17" t="n">
        <v>24990</v>
      </c>
      <c r="L26" s="18" t="n">
        <f aca="false">IF(OR(G26="",K26=""),"",G26*K26)</f>
        <v>49980</v>
      </c>
      <c r="M26" s="14" t="inlineStr">
        <is>
          <t xml:space="preserve">Disponible en Chile</t>
        </is>
      </c>
      <c r="N26" s="15" t="inlineStr">
        <is>
          <t xml:space="preserve">Panel Resun 20 W</t>
        </is>
      </c>
      <c r="O26" s="14" t="inlineStr">
        <is>
          <t xml:space="preserve">Cotizado</t>
        </is>
      </c>
      <c r="P26" s="19" t="str">
        <f aca="false">IF(C26="","",IF(COUNTIF(Trazabilidad!$A$5:$A$60,C26)&gt;0,"✓","Revisar"))</f>
        <v>✓</v>
      </c>
      <c r="Q26" s="15" t="inlineStr">
        <is>
          <t xml:space="preserve">Reemplaza al panel 5.5 V 170 mA de v01 (insuficiente: BLE scan + LoRa consumen más). Orientar al norte, ~35° de inclinación; evitar sombras.</t>
        </is>
      </c>
    </row>
    <row r="27" customFormat="false" ht="29.0" hidden="false" customHeight="true" outlineLevel="0" collapsed="false">
      <c r="A27" s="14" t="inlineStr">
        <is>
          <t xml:space="preserve">E19</t>
        </is>
      </c>
      <c r="B27" s="14" t="inlineStr">
        <is>
          <t xml:space="preserve">Electrónica</t>
        </is>
      </c>
      <c r="C27" s="15" t="inlineStr">
        <is>
          <t xml:space="preserve">Alimentar nodo de forma autónoma</t>
        </is>
      </c>
      <c r="D27" s="14" t="inlineStr">
        <is>
          <t xml:space="preserve">Controlador de carga solar PWM</t>
        </is>
      </c>
      <c r="E27" s="15" t="inlineStr">
        <is>
          <t xml:space="preserve">Controlador 12/24 V 10 A</t>
        </is>
      </c>
      <c r="F27" s="14" t="inlineStr">
        <is>
          <t xml:space="preserve">Genérico</t>
        </is>
      </c>
      <c r="G27" s="16" t="n">
        <v>2</v>
      </c>
      <c r="H27" s="14" t="inlineStr">
        <is>
          <t xml:space="preserve">un.</t>
        </is>
      </c>
      <c r="I27" s="14" t="inlineStr">
        <is>
          <t xml:space="preserve">MechatronicStore</t>
        </is>
      </c>
      <c r="J27" s="14" t="inlineStr">
        <is>
          <t xml:space="preserve">https://www.mechatronicstore.cl/controlador-de-carga-inteligente-para-panel-solar-12-24v-10a/</t>
        </is>
      </c>
      <c r="K27" s="17" t="n">
        <v>8990</v>
      </c>
      <c r="L27" s="18" t="n">
        <f aca="false">IF(OR(G27="",K27=""),"",G27*K27)</f>
        <v>17980</v>
      </c>
      <c r="M27" s="14" t="inlineStr">
        <is>
          <t xml:space="preserve">Disponible en Chile</t>
        </is>
      </c>
      <c r="N27" s="15" t="inlineStr">
        <is>
          <t xml:space="preserve">Controlador 20 A</t>
        </is>
      </c>
      <c r="O27" s="14" t="inlineStr">
        <is>
          <t xml:space="preserve">Cotizado</t>
        </is>
      </c>
      <c r="P27" s="19" t="str">
        <f aca="false">IF(C27="","",IF(COUNTIF(Trazabilidad!$A$5:$A$60,C27)&gt;0,"✓","Revisar"))</f>
        <v>✓</v>
      </c>
      <c r="Q27" s="15" t="inlineStr">
        <is>
          <t xml:space="preserve">Precio en oferta (normal $14.990). Protege la batería de sobrecarga y descarga profunda. Reemplaza al TP4056.</t>
        </is>
      </c>
    </row>
    <row r="28" customFormat="false" ht="42.5" hidden="false" customHeight="true" outlineLevel="0" collapsed="false">
      <c r="A28" s="14" t="inlineStr">
        <is>
          <t xml:space="preserve">E20</t>
        </is>
      </c>
      <c r="B28" s="14" t="inlineStr">
        <is>
          <t xml:space="preserve">Electrónica</t>
        </is>
      </c>
      <c r="C28" s="15" t="inlineStr">
        <is>
          <t xml:space="preserve">Alimentar nodo de forma autónoma</t>
        </is>
      </c>
      <c r="D28" s="14" t="inlineStr">
        <is>
          <t xml:space="preserve">Batería AGM 12 V 7 Ah</t>
        </is>
      </c>
      <c r="E28" s="15" t="inlineStr">
        <is>
          <t xml:space="preserve">Ultracell UL 7-12, plomo-ácido sellada, faston 6.3 mm, 94x151x65 mm</t>
        </is>
      </c>
      <c r="F28" s="14" t="inlineStr">
        <is>
          <t xml:space="preserve">Ultracell / BTA12-72U</t>
        </is>
      </c>
      <c r="G28" s="16" t="n">
        <v>2</v>
      </c>
      <c r="H28" s="14" t="inlineStr">
        <is>
          <t xml:space="preserve">un.</t>
        </is>
      </c>
      <c r="I28" s="14" t="inlineStr">
        <is>
          <t xml:space="preserve">CompraTecno</t>
        </is>
      </c>
      <c r="J28" s="14" t="inlineStr">
        <is>
          <t xml:space="preserve">https://compratecno.cl/baterias/1767-bta12-72u.html</t>
        </is>
      </c>
      <c r="K28" s="17" t="n">
        <v>14657</v>
      </c>
      <c r="L28" s="18" t="n">
        <f aca="false">IF(OR(G28="",K28=""),"",G28*K28)</f>
        <v>29314</v>
      </c>
      <c r="M28" s="14" t="inlineStr">
        <is>
          <t xml:space="preserve">Disponible en Chile</t>
        </is>
      </c>
      <c r="N28" s="15" t="inlineStr">
        <is>
          <t xml:space="preserve">Aokly 6FM7 12 V 7 Ah (solaryled.cl)</t>
        </is>
      </c>
      <c r="O28" s="14" t="inlineStr">
        <is>
          <t xml:space="preserve">Cotizado</t>
        </is>
      </c>
      <c r="P28" s="19" t="str">
        <f aca="false">IF(C28="","",IF(COUNTIF(Trazabilidad!$A$5:$A$60,C28)&gt;0,"✓","Revisar"))</f>
        <v>✓</v>
      </c>
      <c r="Q28" s="15" t="inlineStr">
        <is>
          <t xml:space="preserve">Reemplaza la 18650. No cabe en la caja 150x150x70 junto a la electrónica: va en caja aparte o bolsa estanca. Pesa ~2 kg.</t>
        </is>
      </c>
    </row>
    <row r="29" customFormat="false" ht="29.0" hidden="false" customHeight="true" outlineLevel="0" collapsed="false">
      <c r="A29" s="14" t="inlineStr">
        <is>
          <t xml:space="preserve">E21</t>
        </is>
      </c>
      <c r="B29" s="14" t="inlineStr">
        <is>
          <t xml:space="preserve">Electrónica</t>
        </is>
      </c>
      <c r="C29" s="15" t="inlineStr">
        <is>
          <t xml:space="preserve">Convertir y proteger la energía (5 V / fusible)</t>
        </is>
      </c>
      <c r="D29" s="14" t="inlineStr">
        <is>
          <t xml:space="preserve">Convertidor step-down 12 V→5 V</t>
        </is>
      </c>
      <c r="E29" s="15" t="inlineStr">
        <is>
          <t xml:space="preserve">LM2596 DC-DC, entrada 12 V, salida ajustada a 5.0 V</t>
        </is>
      </c>
      <c r="F29" s="14" t="inlineStr">
        <is>
          <t xml:space="preserve">Genérico (LM2596)</t>
        </is>
      </c>
      <c r="G29" s="16" t="n">
        <v>2</v>
      </c>
      <c r="H29" s="14" t="inlineStr">
        <is>
          <t xml:space="preserve">un.</t>
        </is>
      </c>
      <c r="I29" s="14" t="inlineStr">
        <is>
          <t xml:space="preserve">AFEL</t>
        </is>
      </c>
      <c r="J29" s="14" t="inlineStr">
        <is>
          <t xml:space="preserve">https://afel.cl/collections/step-down-dc</t>
        </is>
      </c>
      <c r="K29" s="17" t="n">
        <v>2500</v>
      </c>
      <c r="L29" s="18" t="n">
        <f aca="false">IF(OR(G29="",K29=""),"",G29*K29)</f>
        <v>5000</v>
      </c>
      <c r="M29" s="14" t="inlineStr">
        <is>
          <t xml:space="preserve">Por verificar</t>
        </is>
      </c>
      <c r="N29" s="15" t="inlineStr">
        <is>
          <t xml:space="preserve">MP1584; controlador con salida USB 5 V</t>
        </is>
      </c>
      <c r="O29" s="14" t="inlineStr">
        <is>
          <t xml:space="preserve">Por cotizar</t>
        </is>
      </c>
      <c r="P29" s="19" t="str">
        <f aca="false">IF(C29="","",IF(COUNTIF(Trazabilidad!$A$5:$A$60,C29)&gt;0,"✓","Revisar"))</f>
        <v>✓</v>
      </c>
      <c r="Q29" s="15" t="inlineStr">
        <is>
          <t xml:space="preserve">Ajustar a 5.0 V con multímetro ANTES de conectar la Heltec (no soporta 12 V). Precio estimado, no verificado.</t>
        </is>
      </c>
    </row>
    <row r="30" customFormat="false" ht="42.5" hidden="false" customHeight="true" outlineLevel="0" collapsed="false">
      <c r="A30" s="14" t="inlineStr">
        <is>
          <t xml:space="preserve">E22</t>
        </is>
      </c>
      <c r="B30" s="14" t="inlineStr">
        <is>
          <t xml:space="preserve">Electrónica</t>
        </is>
      </c>
      <c r="C30" s="15" t="inlineStr">
        <is>
          <t xml:space="preserve">Convertir y proteger la energía (5 V / fusible)</t>
        </is>
      </c>
      <c r="D30" s="14" t="inlineStr">
        <is>
          <t xml:space="preserve">Portafusible + fusible 5 A</t>
        </is>
      </c>
      <c r="E30" s="15" t="inlineStr">
        <is>
          <t xml:space="preserve">Portafusible en línea con fusible 5 A (12 V)</t>
        </is>
      </c>
      <c r="F30" s="14" t="inlineStr">
        <is>
          <t xml:space="preserve">Genérico</t>
        </is>
      </c>
      <c r="G30" s="16" t="n">
        <v>2</v>
      </c>
      <c r="H30" s="14" t="inlineStr">
        <is>
          <t xml:space="preserve">un.</t>
        </is>
      </c>
      <c r="I30" s="14" t="inlineStr">
        <is>
          <t xml:space="preserve">Zona Industrial</t>
        </is>
      </c>
      <c r="J30" s="14" t="inlineStr">
        <is>
          <t xml:space="preserve">https://www.zonaindustrial.cl/shop/category/6477</t>
        </is>
      </c>
      <c r="K30" s="17" t="n">
        <v>2500</v>
      </c>
      <c r="L30" s="18" t="n">
        <f aca="false">IF(OR(G30="",K30=""),"",G30*K30)</f>
        <v>5000</v>
      </c>
      <c r="M30" s="14" t="inlineStr">
        <is>
          <t xml:space="preserve">Por verificar</t>
        </is>
      </c>
      <c r="N30" s="15" t="inlineStr">
        <is>
          <t xml:space="preserve">Mini breaker 12 V</t>
        </is>
      </c>
      <c r="O30" s="14" t="inlineStr">
        <is>
          <t xml:space="preserve">Por cotizar</t>
        </is>
      </c>
      <c r="P30" s="19" t="str">
        <f aca="false">IF(C30="","",IF(COUNTIF(Trazabilidad!$A$5:$A$60,C30)&gt;0,"✓","Revisar"))</f>
        <v>✓</v>
      </c>
      <c r="Q30" s="15" t="inlineStr">
        <is>
          <t xml:space="preserve">En el positivo, entre batería y controlador. Una batería de plomo puede entregar cientos de amperes en corto. Precio estimado, no verificado.</t>
        </is>
      </c>
    </row>
    <row r="31" customFormat="false" ht="42.5" hidden="false" customHeight="true" outlineLevel="0" collapsed="false">
      <c r="A31" s="14" t="inlineStr">
        <is>
          <t xml:space="preserve">M01</t>
        </is>
      </c>
      <c r="B31" s="14" t="inlineStr">
        <is>
          <t xml:space="preserve">Mecánica / estructura</t>
        </is>
      </c>
      <c r="C31" s="15" t="inlineStr">
        <is>
          <t xml:space="preserve">Sostener estructura de tótem (1:1)</t>
        </is>
      </c>
      <c r="D31" s="14" t="inlineStr">
        <is>
          <t xml:space="preserve">Estructura vertical poste</t>
        </is>
      </c>
      <c r="E31" s="15" t="inlineStr">
        <is>
          <t xml:space="preserve">Tubo sanitario PVC reforzado 110 mm x 2 m con tapa terminal y base tipo brida</t>
        </is>
      </c>
      <c r="F31" s="14" t="inlineStr">
        <is>
          <t xml:space="preserve">Tigre / Vinilit 110mm</t>
        </is>
      </c>
      <c r="G31" s="16" t="n">
        <v>2</v>
      </c>
      <c r="H31" s="14" t="inlineStr">
        <is>
          <t xml:space="preserve">un.</t>
        </is>
      </c>
      <c r="I31" s="14" t="inlineStr">
        <is>
          <t xml:space="preserve">Sodimac Homecenter</t>
        </is>
      </c>
      <c r="J31" s="14" t="inlineStr">
        <is>
          <t xml:space="preserve">https://sodimac.falabella.com/</t>
        </is>
      </c>
      <c r="K31" s="17" t="n">
        <v>14990</v>
      </c>
      <c r="L31" s="18" t="n">
        <f aca="false">IF(OR(G31="",K31=""),"",G31*K31)</f>
        <v>29980</v>
      </c>
      <c r="M31" s="14" t="inlineStr">
        <is>
          <t xml:space="preserve">Disponible en Chile</t>
        </is>
      </c>
      <c r="N31" s="15" t="inlineStr">
        <is>
          <t xml:space="preserve">Perfil de aluminio 2020 / poste de madera</t>
        </is>
      </c>
      <c r="O31" s="14" t="inlineStr">
        <is>
          <t xml:space="preserve">Cotizado</t>
        </is>
      </c>
      <c r="P31" s="19" t="str">
        <f aca="false">IF(C31="","",IF(COUNTIF(Trazabilidad!$A$5:$A$60,C31)&gt;0,"✓","Revisar"))</f>
        <v>✓</v>
      </c>
      <c r="Q31" s="15" t="inlineStr">
        <is>
          <t xml:space="preserve">Cant. 1→2 (un poste por tótem). El BME280 va en la sombra a ~1,5–2 m del suelo, lejos del panel. Enlace de v01 es la portada de Sodimac: falta enlace al producto.</t>
        </is>
      </c>
    </row>
    <row r="32" customFormat="false" ht="42.5" hidden="false" customHeight="true" outlineLevel="0" collapsed="false">
      <c r="A32" s="14" t="inlineStr">
        <is>
          <t xml:space="preserve">M02</t>
        </is>
      </c>
      <c r="B32" s="14" t="inlineStr">
        <is>
          <t xml:space="preserve">Mecánica / estructura</t>
        </is>
      </c>
      <c r="C32" s="15" t="inlineStr">
        <is>
          <t xml:space="preserve">Proteger componentes contra intemperie</t>
        </is>
      </c>
      <c r="D32" s="14" t="inlineStr">
        <is>
          <t xml:space="preserve">Gabinete sellado exterior</t>
        </is>
      </c>
      <c r="E32" s="15" t="inlineStr">
        <is>
          <t xml:space="preserve">Caja plástica estanca IP65 (150 x 110 x 70 mm) con prensaestopas PG7</t>
        </is>
      </c>
      <c r="F32" s="14" t="inlineStr">
        <is>
          <t xml:space="preserve">Marlew / Dexson IP65</t>
        </is>
      </c>
      <c r="G32" s="16" t="n">
        <v>2</v>
      </c>
      <c r="H32" s="14" t="inlineStr">
        <is>
          <t xml:space="preserve">un.</t>
        </is>
      </c>
      <c r="I32" s="14" t="inlineStr">
        <is>
          <t xml:space="preserve">Sodimac Homecenter</t>
        </is>
      </c>
      <c r="J32" s="14" t="inlineStr">
        <is>
          <t xml:space="preserve">https://sodimac.falabella.com/</t>
        </is>
      </c>
      <c r="K32" s="17" t="n">
        <v>6990</v>
      </c>
      <c r="L32" s="18" t="n">
        <f aca="false">IF(OR(G32="",K32=""),"",G32*K32)</f>
        <v>13980</v>
      </c>
      <c r="M32" s="14" t="inlineStr">
        <is>
          <t xml:space="preserve">Disponible en Chile</t>
        </is>
      </c>
      <c r="N32" s="15" t="inlineStr">
        <is>
          <t xml:space="preserve">Caja 150x150x70 AFEL (~$9.000 est.) o caja mayor</t>
        </is>
      </c>
      <c r="O32" s="14" t="inlineStr">
        <is>
          <t xml:space="preserve">Cotizado</t>
        </is>
      </c>
      <c r="P32" s="19" t="str">
        <f aca="false">IF(C32="","",IF(COUNTIF(Trazabilidad!$A$5:$A$60,C32)&gt;0,"✓","Revisar"))</f>
        <v>✓</v>
      </c>
      <c r="Q32" s="15" t="inlineStr">
        <is>
          <t xml:space="preserve">Cant. 1→2. Aloja Heltec, RTC, LM2596 y transistores; la batería AGM va aparte (no cabe). Medir antes de comprar; gel de sílice dentro; taladrar solo por abajo.</t>
        </is>
      </c>
    </row>
    <row r="33" customFormat="false" ht="42.5" hidden="false" customHeight="true" outlineLevel="0" collapsed="false">
      <c r="A33" s="14" t="inlineStr">
        <is>
          <t xml:space="preserve">M03</t>
        </is>
      </c>
      <c r="B33" s="14" t="inlineStr">
        <is>
          <t xml:space="preserve">Mecánica / estructura</t>
        </is>
      </c>
      <c r="C33" s="15" t="inlineStr">
        <is>
          <t xml:space="preserve">Alojar y fijar el clip al senderista</t>
        </is>
      </c>
      <c r="D33" s="14" t="inlineStr">
        <is>
          <t xml:space="preserve">Pinza / clip de sujeción</t>
        </is>
      </c>
      <c r="E33" s="15" t="inlineStr">
        <is>
          <t xml:space="preserve">Presilla metálica o clip de mochila ~20 mm</t>
        </is>
      </c>
      <c r="F33" s="14" t="inlineStr">
        <is>
          <t xml:space="preserve">Genérico</t>
        </is>
      </c>
      <c r="G33" s="16" t="n">
        <v>3</v>
      </c>
      <c r="H33" s="14" t="inlineStr">
        <is>
          <t xml:space="preserve">un.</t>
        </is>
      </c>
      <c r="I33" s="14" t="inlineStr">
        <is>
          <t xml:space="preserve">Mercería / ferretería</t>
        </is>
      </c>
      <c r="J33" s="14" t="inlineStr">
        <is>
          <t xml:space="preserve">Sin enlace verificado</t>
        </is>
      </c>
      <c r="K33" s="17" t="n">
        <v>800</v>
      </c>
      <c r="L33" s="18" t="n">
        <f aca="false">IF(OR(G33="",K33=""),"",G33*K33)</f>
        <v>2400</v>
      </c>
      <c r="M33" s="14" t="inlineStr">
        <is>
          <t xml:space="preserve">Por verificar</t>
        </is>
      </c>
      <c r="N33" s="15" t="inlineStr">
        <is>
          <t xml:space="preserve">Velcro adhesivo</t>
        </is>
      </c>
      <c r="O33" s="14" t="inlineStr">
        <is>
          <t xml:space="preserve">Por cotizar</t>
        </is>
      </c>
      <c r="P33" s="19" t="str">
        <f aca="false">IF(C33="","",IF(COUNTIF(Trazabilidad!$A$5:$A$60,C33)&gt;0,"✓","Revisar"))</f>
        <v>✓</v>
      </c>
      <c r="Q33" s="15" t="inlineStr">
        <is>
          <t xml:space="preserve">Se fija a la mini caja del clip (M04) con tornillo o pegamento. Cualquier mercería lo vende. Precio estimado, no verificado.</t>
        </is>
      </c>
    </row>
    <row r="34" customFormat="false" ht="56.0" hidden="false" customHeight="true" outlineLevel="0" collapsed="false">
      <c r="A34" s="14" t="inlineStr">
        <is>
          <t xml:space="preserve">M04</t>
        </is>
      </c>
      <c r="B34" s="14" t="inlineStr">
        <is>
          <t xml:space="preserve">Mecánica / estructura</t>
        </is>
      </c>
      <c r="C34" s="15" t="inlineStr">
        <is>
          <t xml:space="preserve">Alojar y fijar el clip al senderista</t>
        </is>
      </c>
      <c r="D34" s="14" t="inlineStr">
        <is>
          <t xml:space="preserve">Mini caja plástica para el clip</t>
        </is>
      </c>
      <c r="E34" s="15" t="inlineStr">
        <is>
          <t xml:space="preserve">Caja de proyectos plástica ~60x40x20 mm con espacio para XIAO + LiPo + buzzer + interruptor</t>
        </is>
      </c>
      <c r="F34" s="14" t="inlineStr">
        <is>
          <t xml:space="preserve">Genérico</t>
        </is>
      </c>
      <c r="G34" s="16" t="n">
        <v>3</v>
      </c>
      <c r="H34" s="14" t="inlineStr">
        <is>
          <t xml:space="preserve">un.</t>
        </is>
      </c>
      <c r="I34" s="14" t="inlineStr">
        <is>
          <t xml:space="preserve">AFEL</t>
        </is>
      </c>
      <c r="J34" s="14" t="inlineStr">
        <is>
          <t xml:space="preserve">https://afel.cl/collections/cajas-proyectos</t>
        </is>
      </c>
      <c r="K34" s="17" t="n">
        <v>1500</v>
      </c>
      <c r="L34" s="18" t="n">
        <f aca="false">IF(OR(G34="",K34=""),"",G34*K34)</f>
        <v>4500</v>
      </c>
      <c r="M34" s="14" t="inlineStr">
        <is>
          <t xml:space="preserve">Por verificar</t>
        </is>
      </c>
      <c r="N34" s="15" t="inlineStr">
        <is>
          <t xml:space="preserve">Estuche de silicona o termocontraíble grueso</t>
        </is>
      </c>
      <c r="O34" s="14" t="inlineStr">
        <is>
          <t xml:space="preserve">Por cotizar</t>
        </is>
      </c>
      <c r="P34" s="19" t="str">
        <f aca="false">IF(C34="","",IF(COUNTIF(Trazabilidad!$A$5:$A$60,C34)&gt;0,"✓","Revisar"))</f>
        <v>✓</v>
      </c>
      <c r="Q34" s="15" t="inlineStr">
        <is>
          <t xml:space="preserve">Reemplaza la carcasa impresa en 3D (se descartó imprimir). Taladrar un orificio para el buzzer y otro para el interruptor. Confirmar medidas con la batería elegida. Precio estimado, no verificado.</t>
        </is>
      </c>
    </row>
    <row r="35" customFormat="false" ht="42.5" hidden="false" customHeight="true" outlineLevel="0" collapsed="false">
      <c r="A35" s="14" t="inlineStr">
        <is>
          <t xml:space="preserve">A01</t>
        </is>
      </c>
      <c r="B35" s="14" t="inlineStr">
        <is>
          <t xml:space="preserve">Ensamblaje</t>
        </is>
      </c>
      <c r="C35" s="15" t="inlineStr">
        <is>
          <t xml:space="preserve">Conectar componentes y cableado</t>
        </is>
      </c>
      <c r="D35" s="14" t="inlineStr">
        <is>
          <t xml:space="preserve">Cables Dupont</t>
        </is>
      </c>
      <c r="E35" s="15" t="inlineStr">
        <is>
          <t xml:space="preserve">Macho-hembra 20 cm, pack de 40</t>
        </is>
      </c>
      <c r="F35" s="14" t="inlineStr">
        <is>
          <t xml:space="preserve">Genérico</t>
        </is>
      </c>
      <c r="G35" s="16" t="n">
        <v>1</v>
      </c>
      <c r="H35" s="14" t="inlineStr">
        <is>
          <t xml:space="preserve">set</t>
        </is>
      </c>
      <c r="I35" s="14" t="inlineStr">
        <is>
          <t xml:space="preserve">AFEL</t>
        </is>
      </c>
      <c r="J35" s="14" t="inlineStr">
        <is>
          <t xml:space="preserve">https://afel.cl/collections/cables</t>
        </is>
      </c>
      <c r="K35" s="17" t="n">
        <v>2500</v>
      </c>
      <c r="L35" s="18" t="n">
        <f aca="false">IF(OR(G35="",K35=""),"",G35*K35)</f>
        <v>2500</v>
      </c>
      <c r="M35" s="14" t="inlineStr">
        <is>
          <t xml:space="preserve">Por verificar</t>
        </is>
      </c>
      <c r="N35" s="15" t="inlineStr">
        <is>
          <t xml:space="preserve">Cable UTP</t>
        </is>
      </c>
      <c r="O35" s="14" t="inlineStr">
        <is>
          <t xml:space="preserve">Por cotizar</t>
        </is>
      </c>
      <c r="P35" s="19" t="str">
        <f aca="false">IF(C35="","",IF(COUNTIF(Trazabilidad!$A$5:$A$60,C35)&gt;0,"✓","Revisar"))</f>
        <v>✓</v>
      </c>
      <c r="Q35" s="15" t="inlineStr">
        <is>
          <t xml:space="preserve">Para probar BME280, RTC, botón, LED y buzzer antes de soldar. (En v01 iba junto con tornillería en un kit de $4.990; ahora separado.) Precio estimado, no verificado.</t>
        </is>
      </c>
    </row>
    <row r="36" customFormat="false" ht="29.0" hidden="false" customHeight="true" outlineLevel="0" collapsed="false">
      <c r="A36" s="14" t="inlineStr">
        <is>
          <t xml:space="preserve">A02</t>
        </is>
      </c>
      <c r="B36" s="14" t="inlineStr">
        <is>
          <t xml:space="preserve">Ensamblaje</t>
        </is>
      </c>
      <c r="C36" s="15" t="inlineStr">
        <is>
          <t xml:space="preserve">Conectar componentes y cableado</t>
        </is>
      </c>
      <c r="D36" s="14" t="inlineStr">
        <is>
          <t xml:space="preserve">Cable de potencia 16 AWG</t>
        </is>
      </c>
      <c r="E36" s="15" t="inlineStr">
        <is>
          <t xml:space="preserve">Multifilar 16 AWG rojo/negro, 5 m cada color</t>
        </is>
      </c>
      <c r="F36" s="14" t="inlineStr">
        <is>
          <t xml:space="preserve">Genérico</t>
        </is>
      </c>
      <c r="G36" s="16" t="n">
        <v>10</v>
      </c>
      <c r="H36" s="14" t="inlineStr">
        <is>
          <t xml:space="preserve">m</t>
        </is>
      </c>
      <c r="I36" s="14" t="inlineStr">
        <is>
          <t xml:space="preserve">AFEL</t>
        </is>
      </c>
      <c r="J36" s="14" t="inlineStr">
        <is>
          <t xml:space="preserve">https://afel.cl/collections/cables</t>
        </is>
      </c>
      <c r="K36" s="17" t="n">
        <v>900</v>
      </c>
      <c r="L36" s="18" t="n">
        <f aca="false">IF(OR(G36="",K36=""),"",G36*K36)</f>
        <v>9000</v>
      </c>
      <c r="M36" s="14" t="inlineStr">
        <is>
          <t xml:space="preserve">Por verificar</t>
        </is>
      </c>
      <c r="N36" s="15" t="inlineStr">
        <is>
          <t xml:space="preserve">Cable 14 AWG</t>
        </is>
      </c>
      <c r="O36" s="14" t="inlineStr">
        <is>
          <t xml:space="preserve">Por cotizar</t>
        </is>
      </c>
      <c r="P36" s="19" t="str">
        <f aca="false">IF(C36="","",IF(COUNTIF(Trazabilidad!$A$5:$A$60,C36)&gt;0,"✓","Revisar"))</f>
        <v>✓</v>
      </c>
      <c r="Q36" s="15" t="inlineStr">
        <is>
          <t xml:space="preserve">Panel–controlador–batería (12 V, hasta 10 A). 22 AWG sería muy delgado. Precio estimado, no verificado.</t>
        </is>
      </c>
    </row>
    <row r="37" customFormat="false" ht="29.0" hidden="false" customHeight="true" outlineLevel="0" collapsed="false">
      <c r="A37" s="14" t="inlineStr">
        <is>
          <t xml:space="preserve">A03</t>
        </is>
      </c>
      <c r="B37" s="14" t="inlineStr">
        <is>
          <t xml:space="preserve">Ensamblaje</t>
        </is>
      </c>
      <c r="C37" s="15" t="inlineStr">
        <is>
          <t xml:space="preserve">Conectar componentes y cableado</t>
        </is>
      </c>
      <c r="D37" s="14" t="inlineStr">
        <is>
          <t xml:space="preserve">Cable de señal 22–24 AWG</t>
        </is>
      </c>
      <c r="E37" s="15" t="inlineStr">
        <is>
          <t xml:space="preserve">Multifilar de colores (sensor, botón, LED)</t>
        </is>
      </c>
      <c r="F37" s="14" t="inlineStr">
        <is>
          <t xml:space="preserve">Genérico</t>
        </is>
      </c>
      <c r="G37" s="16" t="n">
        <v>10</v>
      </c>
      <c r="H37" s="14" t="inlineStr">
        <is>
          <t xml:space="preserve">m</t>
        </is>
      </c>
      <c r="I37" s="14" t="inlineStr">
        <is>
          <t xml:space="preserve">AFEL</t>
        </is>
      </c>
      <c r="J37" s="14" t="inlineStr">
        <is>
          <t xml:space="preserve">https://afel.cl/collections/cables</t>
        </is>
      </c>
      <c r="K37" s="17" t="n">
        <v>400</v>
      </c>
      <c r="L37" s="18" t="n">
        <f aca="false">IF(OR(G37="",K37=""),"",G37*K37)</f>
        <v>4000</v>
      </c>
      <c r="M37" s="14" t="inlineStr">
        <is>
          <t xml:space="preserve">Por verificar</t>
        </is>
      </c>
      <c r="N37" s="15" t="inlineStr">
        <is>
          <t xml:space="preserve">Cable de red UTP</t>
        </is>
      </c>
      <c r="O37" s="14" t="inlineStr">
        <is>
          <t xml:space="preserve">Por cotizar</t>
        </is>
      </c>
      <c r="P37" s="19" t="str">
        <f aca="false">IF(C37="","",IF(COUNTIF(Trazabilidad!$A$5:$A$60,C37)&gt;0,"✓","Revisar"))</f>
        <v>✓</v>
      </c>
      <c r="Q37" s="15" t="inlineStr">
        <is>
          <t xml:space="preserve">Para sacar BME280 y botón de la caja. Mantener &lt;2 m en I2C. Precio estimado, no verificado.</t>
        </is>
      </c>
    </row>
    <row r="38" customFormat="false" ht="29.0" hidden="false" customHeight="true" outlineLevel="0" collapsed="false">
      <c r="A38" s="14" t="inlineStr">
        <is>
          <t xml:space="preserve">A04</t>
        </is>
      </c>
      <c r="B38" s="14" t="inlineStr">
        <is>
          <t xml:space="preserve">Ensamblaje</t>
        </is>
      </c>
      <c r="C38" s="15" t="inlineStr">
        <is>
          <t xml:space="preserve">Conectar componentes y cableado</t>
        </is>
      </c>
      <c r="D38" s="14" t="inlineStr">
        <is>
          <t xml:space="preserve">Placa perforada</t>
        </is>
      </c>
      <c r="E38" s="15" t="inlineStr">
        <is>
          <t xml:space="preserve">PCB perforada 6x8 cm doble cara</t>
        </is>
      </c>
      <c r="F38" s="14" t="inlineStr">
        <is>
          <t xml:space="preserve">Genérico</t>
        </is>
      </c>
      <c r="G38" s="16" t="n">
        <v>2</v>
      </c>
      <c r="H38" s="14" t="inlineStr">
        <is>
          <t xml:space="preserve">un.</t>
        </is>
      </c>
      <c r="I38" s="14" t="inlineStr">
        <is>
          <t xml:space="preserve">AFEL</t>
        </is>
      </c>
      <c r="J38" s="14" t="inlineStr">
        <is>
          <t xml:space="preserve">https://afel.cl/collections/perfboard-pcb</t>
        </is>
      </c>
      <c r="K38" s="17" t="n">
        <v>1200</v>
      </c>
      <c r="L38" s="18" t="n">
        <f aca="false">IF(OR(G38="",K38=""),"",G38*K38)</f>
        <v>2400</v>
      </c>
      <c r="M38" s="14" t="inlineStr">
        <is>
          <t xml:space="preserve">Por verificar</t>
        </is>
      </c>
      <c r="N38" s="15" t="inlineStr">
        <is>
          <t xml:space="preserve">PCB a medida</t>
        </is>
      </c>
      <c r="O38" s="14" t="inlineStr">
        <is>
          <t xml:space="preserve">Por cotizar</t>
        </is>
      </c>
      <c r="P38" s="19" t="str">
        <f aca="false">IF(C38="","",IF(COUNTIF(Trazabilidad!$A$5:$A$60,C38)&gt;0,"✓","Revisar"))</f>
        <v>✓</v>
      </c>
      <c r="Q38" s="15" t="inlineStr">
        <is>
          <t xml:space="preserve">Una por tótem: LM2596, transistores, RTC y bornes. Precio estimado, no verificado.</t>
        </is>
      </c>
    </row>
    <row r="39" customFormat="false" ht="29.0" hidden="false" customHeight="true" outlineLevel="0" collapsed="false">
      <c r="A39" s="14" t="inlineStr">
        <is>
          <t xml:space="preserve">A05</t>
        </is>
      </c>
      <c r="B39" s="14" t="inlineStr">
        <is>
          <t xml:space="preserve">Ensamblaje</t>
        </is>
      </c>
      <c r="C39" s="15" t="inlineStr">
        <is>
          <t xml:space="preserve">Conectar componentes y cableado</t>
        </is>
      </c>
      <c r="D39" s="14" t="inlineStr">
        <is>
          <t xml:space="preserve">Estaño + termocontraíble</t>
        </is>
      </c>
      <c r="E39" s="15" t="inlineStr">
        <is>
          <t xml:space="preserve">Estaño 60/40 con flux y surtido de termocontraíble</t>
        </is>
      </c>
      <c r="F39" s="14" t="inlineStr">
        <is>
          <t xml:space="preserve">Genérico</t>
        </is>
      </c>
      <c r="G39" s="16" t="n">
        <v>1</v>
      </c>
      <c r="H39" s="14" t="inlineStr">
        <is>
          <t xml:space="preserve">set</t>
        </is>
      </c>
      <c r="I39" s="14" t="inlineStr">
        <is>
          <t xml:space="preserve">AFEL</t>
        </is>
      </c>
      <c r="J39" s="14" t="inlineStr">
        <is>
          <t xml:space="preserve">https://afel.cl/collections/soldadura</t>
        </is>
      </c>
      <c r="K39" s="17" t="n">
        <v>6000</v>
      </c>
      <c r="L39" s="18" t="n">
        <f aca="false">IF(OR(G39="",K39=""),"",G39*K39)</f>
        <v>6000</v>
      </c>
      <c r="M39" s="14" t="inlineStr">
        <is>
          <t xml:space="preserve">Por verificar</t>
        </is>
      </c>
      <c r="N39" s="15" t="inlineStr">
        <is>
          <t xml:space="preserve">Cinta aisladora</t>
        </is>
      </c>
      <c r="O39" s="14" t="inlineStr">
        <is>
          <t xml:space="preserve">Por cotizar</t>
        </is>
      </c>
      <c r="P39" s="19" t="str">
        <f aca="false">IF(C39="","",IF(COUNTIF(Trazabilidad!$A$5:$A$60,C39)&gt;0,"✓","Revisar"))</f>
        <v>✓</v>
      </c>
      <c r="Q39" s="15" t="inlineStr">
        <is>
          <t xml:space="preserve">Falta además un cautín si no tienen (herramienta, no incluida). Precio estimado, no verificado.</t>
        </is>
      </c>
    </row>
    <row r="40" customFormat="false" ht="29.0" hidden="false" customHeight="true" outlineLevel="0" collapsed="false">
      <c r="A40" s="14" t="inlineStr">
        <is>
          <t xml:space="preserve">A06</t>
        </is>
      </c>
      <c r="B40" s="14" t="inlineStr">
        <is>
          <t xml:space="preserve">Ensamblaje</t>
        </is>
      </c>
      <c r="C40" s="15" t="inlineStr">
        <is>
          <t xml:space="preserve">Proteger componentes contra intemperie</t>
        </is>
      </c>
      <c r="D40" s="14" t="inlineStr">
        <is>
          <t xml:space="preserve">Prensaestopas PG9</t>
        </is>
      </c>
      <c r="E40" s="15" t="inlineStr">
        <is>
          <t xml:space="preserve">4 por tótem: panel, batería, sensor, botón/LED</t>
        </is>
      </c>
      <c r="F40" s="14" t="inlineStr">
        <is>
          <t xml:space="preserve">Genérico</t>
        </is>
      </c>
      <c r="G40" s="16" t="n">
        <v>8</v>
      </c>
      <c r="H40" s="14" t="inlineStr">
        <is>
          <t xml:space="preserve">un.</t>
        </is>
      </c>
      <c r="I40" s="14" t="inlineStr">
        <is>
          <t xml:space="preserve">Ferretería eléctrica</t>
        </is>
      </c>
      <c r="J40" s="14" t="inlineStr">
        <is>
          <t xml:space="preserve">Sin enlace verificado</t>
        </is>
      </c>
      <c r="K40" s="17" t="n">
        <v>500</v>
      </c>
      <c r="L40" s="18" t="n">
        <f aca="false">IF(OR(G40="",K40=""),"",G40*K40)</f>
        <v>4000</v>
      </c>
      <c r="M40" s="14" t="inlineStr">
        <is>
          <t xml:space="preserve">Por verificar</t>
        </is>
      </c>
      <c r="N40" s="15" t="inlineStr">
        <is>
          <t xml:space="preserve">Conos de goma de la caja</t>
        </is>
      </c>
      <c r="O40" s="14" t="inlineStr">
        <is>
          <t xml:space="preserve">Por cotizar</t>
        </is>
      </c>
      <c r="P40" s="19" t="str">
        <f aca="false">IF(C40="","",IF(COUNTIF(Trazabilidad!$A$5:$A$60,C40)&gt;0,"✓","Revisar"))</f>
        <v>✓</v>
      </c>
      <c r="Q40" s="15" t="inlineStr">
        <is>
          <t xml:space="preserve">Mantiene el IP65 al pasar cables. Hacer "lazo de goteo" antes de entrar a la caja. Precio estimado, no verificado.</t>
        </is>
      </c>
    </row>
    <row r="41" customFormat="false" ht="29.0" hidden="false" customHeight="true" outlineLevel="0" collapsed="false">
      <c r="A41" s="14" t="inlineStr">
        <is>
          <t xml:space="preserve">A07</t>
        </is>
      </c>
      <c r="B41" s="14" t="inlineStr">
        <is>
          <t xml:space="preserve">Ensamblaje</t>
        </is>
      </c>
      <c r="C41" s="15" t="inlineStr">
        <is>
          <t xml:space="preserve">Conectar componentes y cableado</t>
        </is>
      </c>
      <c r="D41" s="14" t="inlineStr">
        <is>
          <t xml:space="preserve">Regleta de 2 polos</t>
        </is>
      </c>
      <c r="E41" s="15" t="inlineStr">
        <is>
          <t xml:space="preserve">Borne de tornillo 2 polos</t>
        </is>
      </c>
      <c r="F41" s="14" t="inlineStr">
        <is>
          <t xml:space="preserve">Genérico</t>
        </is>
      </c>
      <c r="G41" s="16" t="n">
        <v>8</v>
      </c>
      <c r="H41" s="14" t="inlineStr">
        <is>
          <t xml:space="preserve">un.</t>
        </is>
      </c>
      <c r="I41" s="14" t="inlineStr">
        <is>
          <t xml:space="preserve">AFEL</t>
        </is>
      </c>
      <c r="J41" s="14" t="inlineStr">
        <is>
          <t xml:space="preserve">https://afel.cl/collections/regletas</t>
        </is>
      </c>
      <c r="K41" s="17" t="n">
        <v>800</v>
      </c>
      <c r="L41" s="18" t="n">
        <f aca="false">IF(OR(G41="",K41=""),"",G41*K41)</f>
        <v>6400</v>
      </c>
      <c r="M41" s="14" t="inlineStr">
        <is>
          <t xml:space="preserve">Por verificar</t>
        </is>
      </c>
      <c r="N41" s="15" t="inlineStr">
        <is>
          <t xml:space="preserve">Conectores Wago</t>
        </is>
      </c>
      <c r="O41" s="14" t="inlineStr">
        <is>
          <t xml:space="preserve">Por cotizar</t>
        </is>
      </c>
      <c r="P41" s="19" t="str">
        <f aca="false">IF(C41="","",IF(COUNTIF(Trazabilidad!$A$5:$A$60,C41)&gt;0,"✓","Revisar"))</f>
        <v>✓</v>
      </c>
      <c r="Q41" s="15" t="inlineStr">
        <is>
          <t xml:space="preserve">Para panel, batería, controlador y salida 5 V. Evitar empalmes con cinta. Precio estimado, no verificado.</t>
        </is>
      </c>
    </row>
    <row r="42" customFormat="false" ht="29.0" hidden="false" customHeight="true" outlineLevel="0" collapsed="false">
      <c r="A42" s="14" t="inlineStr">
        <is>
          <t xml:space="preserve">A08</t>
        </is>
      </c>
      <c r="B42" s="14" t="inlineStr">
        <is>
          <t xml:space="preserve">Ensamblaje</t>
        </is>
      </c>
      <c r="C42" s="15" t="inlineStr">
        <is>
          <t xml:space="preserve">Conectar componentes y cableado</t>
        </is>
      </c>
      <c r="D42" s="14" t="inlineStr">
        <is>
          <t xml:space="preserve">Terminales faston 6.3 mm</t>
        </is>
      </c>
      <c r="E42" s="15" t="inlineStr">
        <is>
          <t xml:space="preserve">Pack de terminales hembra aislados 6.3 mm</t>
        </is>
      </c>
      <c r="F42" s="14" t="inlineStr">
        <is>
          <t xml:space="preserve">Genérico</t>
        </is>
      </c>
      <c r="G42" s="16" t="n">
        <v>2</v>
      </c>
      <c r="H42" s="14" t="inlineStr">
        <is>
          <t xml:space="preserve">set</t>
        </is>
      </c>
      <c r="I42" s="14" t="inlineStr">
        <is>
          <t xml:space="preserve">Ferretería eléctrica</t>
        </is>
      </c>
      <c r="J42" s="14" t="inlineStr">
        <is>
          <t xml:space="preserve">Sin enlace verificado</t>
        </is>
      </c>
      <c r="K42" s="17" t="n">
        <v>1500</v>
      </c>
      <c r="L42" s="18" t="n">
        <f aca="false">IF(OR(G42="",K42=""),"",G42*K42)</f>
        <v>3000</v>
      </c>
      <c r="M42" s="14" t="inlineStr">
        <is>
          <t xml:space="preserve">Por verificar</t>
        </is>
      </c>
      <c r="N42" s="15" t="inlineStr">
        <is>
          <t xml:space="preserve">Soldar (no recomendado)</t>
        </is>
      </c>
      <c r="O42" s="14" t="inlineStr">
        <is>
          <t xml:space="preserve">Por cotizar</t>
        </is>
      </c>
      <c r="P42" s="19" t="str">
        <f aca="false">IF(C42="","",IF(COUNTIF(Trazabilidad!$A$5:$A$60,C42)&gt;0,"✓","Revisar"))</f>
        <v>✓</v>
      </c>
      <c r="Q42" s="15" t="inlineStr">
        <is>
          <t xml:space="preserve">La batería AGM usa lengüetas 6.3 mm; crimpar bien. Precio estimado, no verificado.</t>
        </is>
      </c>
    </row>
    <row r="43" customFormat="false" ht="29.0" hidden="false" customHeight="true" outlineLevel="0" collapsed="false">
      <c r="A43" s="14" t="inlineStr">
        <is>
          <t xml:space="preserve">A09</t>
        </is>
      </c>
      <c r="B43" s="14" t="inlineStr">
        <is>
          <t xml:space="preserve">Ensamblaje</t>
        </is>
      </c>
      <c r="C43" s="15" t="inlineStr">
        <is>
          <t xml:space="preserve">Conectar componentes y cableado</t>
        </is>
      </c>
      <c r="D43" s="14" t="inlineStr">
        <is>
          <t xml:space="preserve">Tornillería y amarras</t>
        </is>
      </c>
      <c r="E43" s="15" t="inlineStr">
        <is>
          <t xml:space="preserve">Tornillos inox M3 x 16 mm con tuercas, amarras UV</t>
        </is>
      </c>
      <c r="F43" s="14" t="inlineStr">
        <is>
          <t xml:space="preserve">Genérico</t>
        </is>
      </c>
      <c r="G43" s="16" t="n">
        <v>1</v>
      </c>
      <c r="H43" s="14" t="inlineStr">
        <is>
          <t xml:space="preserve">set</t>
        </is>
      </c>
      <c r="I43" s="14" t="inlineStr">
        <is>
          <t xml:space="preserve">AFEL</t>
        </is>
      </c>
      <c r="J43" s="14" t="inlineStr">
        <is>
          <t xml:space="preserve">https://afel.cl/collections/tornilleria</t>
        </is>
      </c>
      <c r="K43" s="17" t="n">
        <v>3000</v>
      </c>
      <c r="L43" s="18" t="n">
        <f aca="false">IF(OR(G43="",K43=""),"",G43*K43)</f>
        <v>3000</v>
      </c>
      <c r="M43" s="14" t="inlineStr">
        <is>
          <t xml:space="preserve">Por verificar</t>
        </is>
      </c>
      <c r="N43" s="15" t="inlineStr">
        <is>
          <t xml:space="preserve">—</t>
        </is>
      </c>
      <c r="O43" s="14" t="inlineStr">
        <is>
          <t xml:space="preserve">Por cotizar</t>
        </is>
      </c>
      <c r="P43" s="19" t="str">
        <f aca="false">IF(C43="","",IF(COUNTIF(Trazabilidad!$A$5:$A$60,C43)&gt;0,"✓","Revisar"))</f>
        <v>✓</v>
      </c>
      <c r="Q43" s="15" t="inlineStr">
        <is>
          <t xml:space="preserve">Inoxidable en exteriores. Viene de la tornillería M3 que incluía A01 de v01. Precio estimado, no verificado.</t>
        </is>
      </c>
    </row>
    <row r="44" customFormat="false" ht="29.0" hidden="false" customHeight="true" outlineLevel="0" collapsed="false">
      <c r="A44" s="14" t="inlineStr">
        <is>
          <t xml:space="preserve">T01</t>
        </is>
      </c>
      <c r="B44" s="14" t="inlineStr">
        <is>
          <t xml:space="preserve">Terminaciones</t>
        </is>
      </c>
      <c r="C44" s="15" t="inlineStr">
        <is>
          <t xml:space="preserve">Proteger componentes contra intemperie</t>
        </is>
      </c>
      <c r="D44" s="14" t="inlineStr">
        <is>
          <t xml:space="preserve">Silicona neutra + gel de sílice</t>
        </is>
      </c>
      <c r="E44" s="15" t="inlineStr">
        <is>
          <t xml:space="preserve">Sellador de silicona neutra y sobres de gel de sílice</t>
        </is>
      </c>
      <c r="F44" s="14" t="inlineStr">
        <is>
          <t xml:space="preserve">Genérico</t>
        </is>
      </c>
      <c r="G44" s="16" t="n">
        <v>1</v>
      </c>
      <c r="H44" s="14" t="inlineStr">
        <is>
          <t xml:space="preserve">set</t>
        </is>
      </c>
      <c r="I44" s="14" t="inlineStr">
        <is>
          <t xml:space="preserve">Ferretería</t>
        </is>
      </c>
      <c r="J44" s="14" t="inlineStr">
        <is>
          <t xml:space="preserve">Sin enlace verificado</t>
        </is>
      </c>
      <c r="K44" s="17" t="n">
        <v>3500</v>
      </c>
      <c r="L44" s="18" t="n">
        <f aca="false">IF(OR(G44="",K44=""),"",G44*K44)</f>
        <v>3500</v>
      </c>
      <c r="M44" s="14" t="inlineStr">
        <is>
          <t xml:space="preserve">Por verificar</t>
        </is>
      </c>
      <c r="N44" s="15" t="inlineStr">
        <is>
          <t xml:space="preserve">Cinta autovulcanizante</t>
        </is>
      </c>
      <c r="O44" s="14" t="inlineStr">
        <is>
          <t xml:space="preserve">Por cotizar</t>
        </is>
      </c>
      <c r="P44" s="19" t="str">
        <f aca="false">IF(C44="","",IF(COUNTIF(Trazabilidad!$A$5:$A$60,C44)&gt;0,"✓","Revisar"))</f>
        <v>✓</v>
      </c>
      <c r="Q44" s="15" t="inlineStr">
        <is>
          <t xml:space="preserve">La condensación dentro de la caja es la causa más común de fallas en terreno. Precio estimado, no verificado.</t>
        </is>
      </c>
    </row>
    <row r="45" customFormat="false" ht="15" hidden="false" customHeight="true" outlineLevel="0" collapsed="false">
      <c r="A45" s="14"/>
      <c r="B45" s="14"/>
      <c r="C45" s="15"/>
      <c r="D45" s="14"/>
      <c r="E45" s="15"/>
      <c r="F45" s="14"/>
      <c r="G45" s="16"/>
      <c r="H45" s="14"/>
      <c r="I45" s="14"/>
      <c r="J45" s="14"/>
      <c r="K45" s="17"/>
      <c r="L45" s="18" t="str">
        <f aca="false">IF(OR(G45="",K45=""),"",G45*K45)</f>
        <v/>
      </c>
      <c r="M45" s="14"/>
      <c r="N45" s="15"/>
      <c r="O45" s="14"/>
      <c r="P45" s="19" t="str">
        <f aca="false">IF(C45="","",IF(COUNTIF(Trazabilidad!$A$5:$A$60,C45)&gt;0,"✓","Revisar"))</f>
        <v/>
      </c>
      <c r="Q45" s="15"/>
    </row>
    <row r="46" customFormat="false" ht="15" hidden="false" customHeight="true" outlineLevel="0" collapsed="false">
      <c r="A46" s="14"/>
      <c r="B46" s="14"/>
      <c r="C46" s="15"/>
      <c r="D46" s="14"/>
      <c r="E46" s="15"/>
      <c r="F46" s="14"/>
      <c r="G46" s="16"/>
      <c r="H46" s="14"/>
      <c r="I46" s="14"/>
      <c r="J46" s="14"/>
      <c r="K46" s="17"/>
      <c r="L46" s="18" t="str">
        <f aca="false">IF(OR(G46="",K46=""),"",G46*K46)</f>
        <v/>
      </c>
      <c r="M46" s="14"/>
      <c r="N46" s="15"/>
      <c r="O46" s="14"/>
      <c r="P46" s="19" t="str">
        <f aca="false">IF(C46="","",IF(COUNTIF(Trazabilidad!$A$5:$A$60,C46)&gt;0,"✓","Revisar"))</f>
        <v/>
      </c>
      <c r="Q46" s="15"/>
    </row>
    <row r="47" customFormat="false" ht="15" hidden="false" customHeight="true" outlineLevel="0" collapsed="false">
      <c r="A47" s="14"/>
      <c r="B47" s="14"/>
      <c r="C47" s="15"/>
      <c r="D47" s="14"/>
      <c r="E47" s="15"/>
      <c r="F47" s="14"/>
      <c r="G47" s="16"/>
      <c r="H47" s="14"/>
      <c r="I47" s="14"/>
      <c r="J47" s="14"/>
      <c r="K47" s="17"/>
      <c r="L47" s="18" t="str">
        <f aca="false">IF(OR(G47="",K47=""),"",G47*K47)</f>
        <v/>
      </c>
      <c r="M47" s="14"/>
      <c r="N47" s="15"/>
      <c r="O47" s="14"/>
      <c r="P47" s="19" t="str">
        <f aca="false">IF(C47="","",IF(COUNTIF(Trazabilidad!$A$5:$A$60,C47)&gt;0,"✓","Revisar"))</f>
        <v/>
      </c>
      <c r="Q47" s="15"/>
    </row>
    <row r="48" customFormat="false" ht="15" hidden="false" customHeight="true" outlineLevel="0" collapsed="false">
      <c r="A48" s="14"/>
      <c r="B48" s="14"/>
      <c r="C48" s="15"/>
      <c r="D48" s="14"/>
      <c r="E48" s="15"/>
      <c r="F48" s="14"/>
      <c r="G48" s="16"/>
      <c r="H48" s="14"/>
      <c r="I48" s="14"/>
      <c r="J48" s="14"/>
      <c r="K48" s="17"/>
      <c r="L48" s="18" t="str">
        <f aca="false">IF(OR(G48="",K48=""),"",G48*K48)</f>
        <v/>
      </c>
      <c r="M48" s="14"/>
      <c r="N48" s="15"/>
      <c r="O48" s="14"/>
      <c r="P48" s="19" t="str">
        <f aca="false">IF(C48="","",IF(COUNTIF(Trazabilidad!$A$5:$A$60,C48)&gt;0,"✓","Revisar"))</f>
        <v/>
      </c>
      <c r="Q48" s="15"/>
    </row>
    <row r="49" customFormat="false" ht="15" hidden="false" customHeight="true" outlineLevel="0" collapsed="false">
      <c r="A49" s="14"/>
      <c r="B49" s="14"/>
      <c r="C49" s="15"/>
      <c r="D49" s="14"/>
      <c r="E49" s="15"/>
      <c r="F49" s="14"/>
      <c r="G49" s="16"/>
      <c r="H49" s="14"/>
      <c r="I49" s="14"/>
      <c r="J49" s="14"/>
      <c r="K49" s="17"/>
      <c r="L49" s="18" t="str">
        <f aca="false">IF(OR(G49="",K49=""),"",G49*K49)</f>
        <v/>
      </c>
      <c r="M49" s="14"/>
      <c r="N49" s="15"/>
      <c r="O49" s="14"/>
      <c r="P49" s="19" t="str">
        <f aca="false">IF(C49="","",IF(COUNTIF(Trazabilidad!$A$5:$A$60,C49)&gt;0,"✓","Revisar"))</f>
        <v/>
      </c>
      <c r="Q49" s="15"/>
    </row>
    <row r="50" customFormat="false" ht="15" hidden="false" customHeight="true" outlineLevel="0" collapsed="false">
      <c r="A50" s="14"/>
      <c r="B50" s="14"/>
      <c r="C50" s="15"/>
      <c r="D50" s="14"/>
      <c r="E50" s="15"/>
      <c r="F50" s="14"/>
      <c r="G50" s="16"/>
      <c r="H50" s="14"/>
      <c r="I50" s="14"/>
      <c r="J50" s="14"/>
      <c r="K50" s="17"/>
      <c r="L50" s="18" t="str">
        <f aca="false">IF(OR(G50="",K50=""),"",G50*K50)</f>
        <v/>
      </c>
      <c r="M50" s="14"/>
      <c r="N50" s="15"/>
      <c r="O50" s="14"/>
      <c r="P50" s="19" t="str">
        <f aca="false">IF(C50="","",IF(COUNTIF(Trazabilidad!$A$5:$A$60,C50)&gt;0,"✓","Revisar"))</f>
        <v/>
      </c>
      <c r="Q50" s="15"/>
    </row>
    <row r="51" customFormat="false" ht="15" hidden="false" customHeight="true" outlineLevel="0" collapsed="false">
      <c r="A51" s="14"/>
      <c r="B51" s="14"/>
      <c r="C51" s="15"/>
      <c r="D51" s="14"/>
      <c r="E51" s="15"/>
      <c r="F51" s="14"/>
      <c r="G51" s="16"/>
      <c r="H51" s="14"/>
      <c r="I51" s="14"/>
      <c r="J51" s="14"/>
      <c r="K51" s="17"/>
      <c r="L51" s="18" t="str">
        <f aca="false">IF(OR(G51="",K51=""),"",G51*K51)</f>
        <v/>
      </c>
      <c r="M51" s="14"/>
      <c r="N51" s="15"/>
      <c r="O51" s="14"/>
      <c r="P51" s="19" t="str">
        <f aca="false">IF(C51="","",IF(COUNTIF(Trazabilidad!$A$5:$A$60,C51)&gt;0,"✓","Revisar"))</f>
        <v/>
      </c>
      <c r="Q51" s="15"/>
    </row>
    <row r="52" customFormat="false" ht="15" hidden="false" customHeight="true" outlineLevel="0" collapsed="false">
      <c r="A52" s="14"/>
      <c r="B52" s="14"/>
      <c r="C52" s="15"/>
      <c r="D52" s="14"/>
      <c r="E52" s="15"/>
      <c r="F52" s="14"/>
      <c r="G52" s="16"/>
      <c r="H52" s="14"/>
      <c r="I52" s="14"/>
      <c r="J52" s="14"/>
      <c r="K52" s="17"/>
      <c r="L52" s="18" t="str">
        <f aca="false">IF(OR(G52="",K52=""),"",G52*K52)</f>
        <v/>
      </c>
      <c r="M52" s="14"/>
      <c r="N52" s="15"/>
      <c r="O52" s="14"/>
      <c r="P52" s="19" t="str">
        <f aca="false">IF(C52="","",IF(COUNTIF(Trazabilidad!$A$5:$A$60,C52)&gt;0,"✓","Revisar"))</f>
        <v/>
      </c>
      <c r="Q52" s="15"/>
    </row>
    <row r="53" customFormat="false" ht="15" hidden="false" customHeight="true" outlineLevel="0" collapsed="false">
      <c r="A53" s="14"/>
      <c r="B53" s="14"/>
      <c r="C53" s="15"/>
      <c r="D53" s="14"/>
      <c r="E53" s="15"/>
      <c r="F53" s="14"/>
      <c r="G53" s="16"/>
      <c r="H53" s="14"/>
      <c r="I53" s="14"/>
      <c r="J53" s="14"/>
      <c r="K53" s="17"/>
      <c r="L53" s="18" t="str">
        <f aca="false">IF(OR(G53="",K53=""),"",G53*K53)</f>
        <v/>
      </c>
      <c r="M53" s="14"/>
      <c r="N53" s="15"/>
      <c r="O53" s="14"/>
      <c r="P53" s="19" t="str">
        <f aca="false">IF(C53="","",IF(COUNTIF(Trazabilidad!$A$5:$A$60,C53)&gt;0,"✓","Revisar"))</f>
        <v/>
      </c>
      <c r="Q53" s="15"/>
    </row>
    <row r="54" customFormat="false" ht="15" hidden="false" customHeight="true" outlineLevel="0" collapsed="false">
      <c r="A54" s="14"/>
      <c r="B54" s="14"/>
      <c r="C54" s="15"/>
      <c r="D54" s="14"/>
      <c r="E54" s="15"/>
      <c r="F54" s="14"/>
      <c r="G54" s="16"/>
      <c r="H54" s="14"/>
      <c r="I54" s="14"/>
      <c r="J54" s="14"/>
      <c r="K54" s="17"/>
      <c r="L54" s="18" t="str">
        <f aca="false">IF(OR(G54="",K54=""),"",G54*K54)</f>
        <v/>
      </c>
      <c r="M54" s="14"/>
      <c r="N54" s="15"/>
      <c r="O54" s="14"/>
      <c r="P54" s="19" t="str">
        <f aca="false">IF(C54="","",IF(COUNTIF(Trazabilidad!$A$5:$A$60,C54)&gt;0,"✓","Revisar"))</f>
        <v/>
      </c>
      <c r="Q54" s="15"/>
    </row>
    <row r="55" customFormat="false" ht="15" hidden="false" customHeight="true" outlineLevel="0" collapsed="false">
      <c r="A55" s="14"/>
      <c r="B55" s="14"/>
      <c r="C55" s="15"/>
      <c r="D55" s="14"/>
      <c r="E55" s="15"/>
      <c r="F55" s="14"/>
      <c r="G55" s="16"/>
      <c r="H55" s="14"/>
      <c r="I55" s="14"/>
      <c r="J55" s="14"/>
      <c r="K55" s="17"/>
      <c r="L55" s="18" t="str">
        <f aca="false">IF(OR(G55="",K55=""),"",G55*K55)</f>
        <v/>
      </c>
      <c r="M55" s="14"/>
      <c r="N55" s="15"/>
      <c r="O55" s="14"/>
      <c r="P55" s="19" t="str">
        <f aca="false">IF(C55="","",IF(COUNTIF(Trazabilidad!$A$5:$A$60,C55)&gt;0,"✓","Revisar"))</f>
        <v/>
      </c>
      <c r="Q55" s="15"/>
    </row>
    <row r="56" customFormat="false" ht="15" hidden="false" customHeight="true" outlineLevel="0" collapsed="false">
      <c r="A56" s="14"/>
      <c r="B56" s="14"/>
      <c r="C56" s="15"/>
      <c r="D56" s="14"/>
      <c r="E56" s="15"/>
      <c r="F56" s="14"/>
      <c r="G56" s="16"/>
      <c r="H56" s="14"/>
      <c r="I56" s="14"/>
      <c r="J56" s="14"/>
      <c r="K56" s="17"/>
      <c r="L56" s="18" t="str">
        <f aca="false">IF(OR(G56="",K56=""),"",G56*K56)</f>
        <v/>
      </c>
      <c r="M56" s="14"/>
      <c r="N56" s="15"/>
      <c r="O56" s="14"/>
      <c r="P56" s="19" t="str">
        <f aca="false">IF(C56="","",IF(COUNTIF(Trazabilidad!$A$5:$A$60,C56)&gt;0,"✓","Revisar"))</f>
        <v/>
      </c>
      <c r="Q56" s="15"/>
    </row>
    <row r="57" customFormat="false" ht="15" hidden="false" customHeight="true" outlineLevel="0" collapsed="false">
      <c r="A57" s="14"/>
      <c r="B57" s="14"/>
      <c r="C57" s="15"/>
      <c r="D57" s="14"/>
      <c r="E57" s="15"/>
      <c r="F57" s="14"/>
      <c r="G57" s="16"/>
      <c r="H57" s="14"/>
      <c r="I57" s="14"/>
      <c r="J57" s="14"/>
      <c r="K57" s="17"/>
      <c r="L57" s="18" t="str">
        <f aca="false">IF(OR(G57="",K57=""),"",G57*K57)</f>
        <v/>
      </c>
      <c r="M57" s="14"/>
      <c r="N57" s="15"/>
      <c r="O57" s="14"/>
      <c r="P57" s="19" t="str">
        <f aca="false">IF(C57="","",IF(COUNTIF(Trazabilidad!$A$5:$A$60,C57)&gt;0,"✓","Revisar"))</f>
        <v/>
      </c>
      <c r="Q57" s="15"/>
    </row>
    <row r="58" customFormat="false" ht="15" hidden="false" customHeight="true" outlineLevel="0" collapsed="false">
      <c r="A58" s="14"/>
      <c r="B58" s="14"/>
      <c r="C58" s="15"/>
      <c r="D58" s="14"/>
      <c r="E58" s="15"/>
      <c r="F58" s="14"/>
      <c r="G58" s="16"/>
      <c r="H58" s="14"/>
      <c r="I58" s="14"/>
      <c r="J58" s="14"/>
      <c r="K58" s="17"/>
      <c r="L58" s="18" t="str">
        <f aca="false">IF(OR(G58="",K58=""),"",G58*K58)</f>
        <v/>
      </c>
      <c r="M58" s="14"/>
      <c r="N58" s="15"/>
      <c r="O58" s="14"/>
      <c r="P58" s="19" t="str">
        <f aca="false">IF(C58="","",IF(COUNTIF(Trazabilidad!$A$5:$A$60,C58)&gt;0,"✓","Revisar"))</f>
        <v/>
      </c>
      <c r="Q58" s="15"/>
    </row>
    <row r="59" customFormat="false" ht="15" hidden="false" customHeight="true" outlineLevel="0" collapsed="false">
      <c r="A59" s="14"/>
      <c r="B59" s="14"/>
      <c r="C59" s="15"/>
      <c r="D59" s="14"/>
      <c r="E59" s="15"/>
      <c r="F59" s="14"/>
      <c r="G59" s="16"/>
      <c r="H59" s="14"/>
      <c r="I59" s="14"/>
      <c r="J59" s="14"/>
      <c r="K59" s="17"/>
      <c r="L59" s="18" t="str">
        <f aca="false">IF(OR(G59="",K59=""),"",G59*K59)</f>
        <v/>
      </c>
      <c r="M59" s="14"/>
      <c r="N59" s="15"/>
      <c r="O59" s="14"/>
      <c r="P59" s="19" t="str">
        <f aca="false">IF(C59="","",IF(COUNTIF(Trazabilidad!$A$5:$A$60,C59)&gt;0,"✓","Revisar"))</f>
        <v/>
      </c>
      <c r="Q59" s="15"/>
    </row>
    <row r="60" customFormat="false" ht="15" hidden="false" customHeight="true" outlineLevel="0" collapsed="false">
      <c r="A60" s="14"/>
      <c r="B60" s="14"/>
      <c r="C60" s="15"/>
      <c r="D60" s="14"/>
      <c r="E60" s="15"/>
      <c r="F60" s="14"/>
      <c r="G60" s="16"/>
      <c r="H60" s="14"/>
      <c r="I60" s="14"/>
      <c r="J60" s="14"/>
      <c r="K60" s="17"/>
      <c r="L60" s="18" t="str">
        <f aca="false">IF(OR(G60="",K60=""),"",G60*K60)</f>
        <v/>
      </c>
      <c r="M60" s="14"/>
      <c r="N60" s="15"/>
      <c r="O60" s="14"/>
      <c r="P60" s="19" t="str">
        <f aca="false">IF(C60="","",IF(COUNTIF(Trazabilidad!$A$5:$A$60,C60)&gt;0,"✓","Revisar"))</f>
        <v/>
      </c>
      <c r="Q60" s="15"/>
    </row>
    <row r="61" customFormat="false" ht="15" hidden="false" customHeight="true" outlineLevel="0" collapsed="false">
      <c r="A61" s="14"/>
      <c r="B61" s="14"/>
      <c r="C61" s="15"/>
      <c r="D61" s="14"/>
      <c r="E61" s="15"/>
      <c r="F61" s="14"/>
      <c r="G61" s="16"/>
      <c r="H61" s="14"/>
      <c r="I61" s="14"/>
      <c r="J61" s="14"/>
      <c r="K61" s="17"/>
      <c r="L61" s="18" t="str">
        <f aca="false">IF(OR(G61="",K61=""),"",G61*K61)</f>
        <v/>
      </c>
      <c r="M61" s="14"/>
      <c r="N61" s="15"/>
      <c r="O61" s="14"/>
      <c r="P61" s="19" t="str">
        <f aca="false">IF(C61="","",IF(COUNTIF(Trazabilidad!$A$5:$A$60,C61)&gt;0,"✓","Revisar"))</f>
        <v/>
      </c>
      <c r="Q61" s="15"/>
    </row>
    <row r="62" customFormat="false" ht="15" hidden="false" customHeight="true" outlineLevel="0" collapsed="false">
      <c r="A62" s="14"/>
      <c r="B62" s="14"/>
      <c r="C62" s="15"/>
      <c r="D62" s="14"/>
      <c r="E62" s="15"/>
      <c r="F62" s="14"/>
      <c r="G62" s="16"/>
      <c r="H62" s="14"/>
      <c r="I62" s="14"/>
      <c r="J62" s="14"/>
      <c r="K62" s="17"/>
      <c r="L62" s="18" t="str">
        <f aca="false">IF(OR(G62="",K62=""),"",G62*K62)</f>
        <v/>
      </c>
      <c r="M62" s="14"/>
      <c r="N62" s="15"/>
      <c r="O62" s="14"/>
      <c r="P62" s="19" t="str">
        <f aca="false">IF(C62="","",IF(COUNTIF(Trazabilidad!$A$5:$A$60,C62)&gt;0,"✓","Revisar"))</f>
        <v/>
      </c>
      <c r="Q62" s="15"/>
    </row>
    <row r="63" customFormat="false" ht="15" hidden="false" customHeight="true" outlineLevel="0" collapsed="false">
      <c r="A63" s="14"/>
      <c r="B63" s="14"/>
      <c r="C63" s="15"/>
      <c r="D63" s="14"/>
      <c r="E63" s="15"/>
      <c r="F63" s="14"/>
      <c r="G63" s="16"/>
      <c r="H63" s="14"/>
      <c r="I63" s="14"/>
      <c r="J63" s="14"/>
      <c r="K63" s="17"/>
      <c r="L63" s="18" t="str">
        <f aca="false">IF(OR(G63="",K63=""),"",G63*K63)</f>
        <v/>
      </c>
      <c r="M63" s="14"/>
      <c r="N63" s="15"/>
      <c r="O63" s="14"/>
      <c r="P63" s="19" t="str">
        <f aca="false">IF(C63="","",IF(COUNTIF(Trazabilidad!$A$5:$A$60,C63)&gt;0,"✓","Revisar"))</f>
        <v/>
      </c>
      <c r="Q63" s="15"/>
    </row>
    <row r="64" customFormat="false" ht="15" hidden="false" customHeight="true" outlineLevel="0" collapsed="false">
      <c r="A64" s="14"/>
      <c r="B64" s="14"/>
      <c r="C64" s="15"/>
      <c r="D64" s="14"/>
      <c r="E64" s="15"/>
      <c r="F64" s="14"/>
      <c r="G64" s="16"/>
      <c r="H64" s="14"/>
      <c r="I64" s="14"/>
      <c r="J64" s="14"/>
      <c r="K64" s="17"/>
      <c r="L64" s="18" t="str">
        <f aca="false">IF(OR(G64="",K64=""),"",G64*K64)</f>
        <v/>
      </c>
      <c r="M64" s="14"/>
      <c r="N64" s="15"/>
      <c r="O64" s="14"/>
      <c r="P64" s="19" t="str">
        <f aca="false">IF(C64="","",IF(COUNTIF(Trazabilidad!$A$5:$A$60,C64)&gt;0,"✓","Revisar"))</f>
        <v/>
      </c>
      <c r="Q64" s="15"/>
    </row>
    <row r="65" customFormat="false" ht="15" hidden="false" customHeight="true" outlineLevel="0" collapsed="false">
      <c r="A65" s="14"/>
      <c r="B65" s="14"/>
      <c r="C65" s="15"/>
      <c r="D65" s="14"/>
      <c r="E65" s="15"/>
      <c r="F65" s="14"/>
      <c r="G65" s="16"/>
      <c r="H65" s="14"/>
      <c r="I65" s="14"/>
      <c r="J65" s="14"/>
      <c r="K65" s="17"/>
      <c r="L65" s="18" t="str">
        <f aca="false">IF(OR(G65="",K65=""),"",G65*K65)</f>
        <v/>
      </c>
      <c r="M65" s="14"/>
      <c r="N65" s="15"/>
      <c r="O65" s="14"/>
      <c r="P65" s="19" t="str">
        <f aca="false">IF(C65="","",IF(COUNTIF(Trazabilidad!$A$5:$A$60,C65)&gt;0,"✓","Revisar"))</f>
        <v/>
      </c>
      <c r="Q65" s="15"/>
    </row>
    <row r="66" customFormat="false" ht="15" hidden="false" customHeight="true" outlineLevel="0" collapsed="false">
      <c r="A66" s="14"/>
      <c r="B66" s="14"/>
      <c r="C66" s="15"/>
      <c r="D66" s="14"/>
      <c r="E66" s="15"/>
      <c r="F66" s="14"/>
      <c r="G66" s="16"/>
      <c r="H66" s="14"/>
      <c r="I66" s="14"/>
      <c r="J66" s="14"/>
      <c r="K66" s="17"/>
      <c r="L66" s="18" t="str">
        <f aca="false">IF(OR(G66="",K66=""),"",G66*K66)</f>
        <v/>
      </c>
      <c r="M66" s="14"/>
      <c r="N66" s="15"/>
      <c r="O66" s="14"/>
      <c r="P66" s="19" t="str">
        <f aca="false">IF(C66="","",IF(COUNTIF(Trazabilidad!$A$5:$A$60,C66)&gt;0,"✓","Revisar"))</f>
        <v/>
      </c>
      <c r="Q66" s="15"/>
    </row>
    <row r="67" customFormat="false" ht="15" hidden="false" customHeight="true" outlineLevel="0" collapsed="false">
      <c r="A67" s="14"/>
      <c r="B67" s="14"/>
      <c r="C67" s="15"/>
      <c r="D67" s="14"/>
      <c r="E67" s="15"/>
      <c r="F67" s="14"/>
      <c r="G67" s="16"/>
      <c r="H67" s="14"/>
      <c r="I67" s="14"/>
      <c r="J67" s="14"/>
      <c r="K67" s="17"/>
      <c r="L67" s="18" t="str">
        <f aca="false">IF(OR(G67="",K67=""),"",G67*K67)</f>
        <v/>
      </c>
      <c r="M67" s="14"/>
      <c r="N67" s="15"/>
      <c r="O67" s="14"/>
      <c r="P67" s="19" t="str">
        <f aca="false">IF(C67="","",IF(COUNTIF(Trazabilidad!$A$5:$A$60,C67)&gt;0,"✓","Revisar"))</f>
        <v/>
      </c>
      <c r="Q67" s="15"/>
    </row>
    <row r="68" customFormat="false" ht="15" hidden="false" customHeight="true" outlineLevel="0" collapsed="false">
      <c r="A68" s="14"/>
      <c r="B68" s="14"/>
      <c r="C68" s="15"/>
      <c r="D68" s="14"/>
      <c r="E68" s="15"/>
      <c r="F68" s="14"/>
      <c r="G68" s="16"/>
      <c r="H68" s="14"/>
      <c r="I68" s="14"/>
      <c r="J68" s="14"/>
      <c r="K68" s="17"/>
      <c r="L68" s="18" t="str">
        <f aca="false">IF(OR(G68="",K68=""),"",G68*K68)</f>
        <v/>
      </c>
      <c r="M68" s="14"/>
      <c r="N68" s="15"/>
      <c r="O68" s="14"/>
      <c r="P68" s="19" t="str">
        <f aca="false">IF(C68="","",IF(COUNTIF(Trazabilidad!$A$5:$A$60,C68)&gt;0,"✓","Revisar"))</f>
        <v/>
      </c>
      <c r="Q68" s="15"/>
    </row>
    <row r="69" customFormat="false" ht="15" hidden="false" customHeight="false" outlineLevel="0" collapsed="false">
      <c r="A69" s="14"/>
      <c r="B69" s="14"/>
      <c r="C69" s="15"/>
      <c r="D69" s="14"/>
      <c r="E69" s="15"/>
      <c r="F69" s="14"/>
      <c r="G69" s="16"/>
      <c r="H69" s="14"/>
      <c r="I69" s="14"/>
      <c r="J69" s="14"/>
      <c r="K69" s="17"/>
      <c r="L69" s="18" t="str">
        <f aca="false">IF(OR(G69="",K69=""),"",G69*K69)</f>
        <v/>
      </c>
      <c r="M69" s="14"/>
      <c r="N69" s="15"/>
      <c r="O69" s="14"/>
      <c r="P69" s="19" t="str">
        <f aca="false">IF(C69="","",IF(COUNTIF(Trazabilidad!$A$5:$A$60,C69)&gt;0,"✓","Revisar"))</f>
        <v/>
      </c>
      <c r="Q69" s="15"/>
    </row>
    <row r="70" customFormat="false" ht="15" hidden="false" customHeight="false" outlineLevel="0" collapsed="false">
      <c r="A70" s="14"/>
      <c r="B70" s="14"/>
      <c r="C70" s="15"/>
      <c r="D70" s="14"/>
      <c r="E70" s="15"/>
      <c r="F70" s="14"/>
      <c r="G70" s="16"/>
      <c r="H70" s="14"/>
      <c r="I70" s="14"/>
      <c r="J70" s="14"/>
      <c r="K70" s="17"/>
      <c r="L70" s="18" t="str">
        <f aca="false">IF(OR(G70="",K70=""),"",G70*K70)</f>
        <v/>
      </c>
      <c r="M70" s="14"/>
      <c r="N70" s="15"/>
      <c r="O70" s="14"/>
      <c r="P70" s="19" t="str">
        <f aca="false">IF(C70="","",IF(COUNTIF(Trazabilidad!$A$5:$A$60,C70)&gt;0,"✓","Revisar"))</f>
        <v/>
      </c>
      <c r="Q70" s="15"/>
    </row>
    <row r="71" customFormat="false" ht="15" hidden="false" customHeight="false" outlineLevel="0" collapsed="false">
      <c r="A71" s="14"/>
      <c r="B71" s="14"/>
      <c r="C71" s="15"/>
      <c r="D71" s="14"/>
      <c r="E71" s="15"/>
      <c r="F71" s="14"/>
      <c r="G71" s="16"/>
      <c r="H71" s="14"/>
      <c r="I71" s="14"/>
      <c r="J71" s="14"/>
      <c r="K71" s="17"/>
      <c r="L71" s="18" t="str">
        <f aca="false">IF(OR(G71="",K71=""),"",G71*K71)</f>
        <v/>
      </c>
      <c r="M71" s="14"/>
      <c r="N71" s="15"/>
      <c r="O71" s="14"/>
      <c r="P71" s="19" t="str">
        <f aca="false">IF(C71="","",IF(COUNTIF(Trazabilidad!$A$5:$A$60,C71)&gt;0,"✓","Revisar"))</f>
        <v/>
      </c>
      <c r="Q71" s="15"/>
    </row>
    <row r="72" customFormat="false" ht="15" hidden="false" customHeight="false" outlineLevel="0" collapsed="false">
      <c r="A72" s="14"/>
      <c r="B72" s="14"/>
      <c r="C72" s="15"/>
      <c r="D72" s="14"/>
      <c r="E72" s="15"/>
      <c r="F72" s="14"/>
      <c r="G72" s="16"/>
      <c r="H72" s="14"/>
      <c r="I72" s="14"/>
      <c r="J72" s="14"/>
      <c r="K72" s="17"/>
      <c r="L72" s="18" t="str">
        <f aca="false">IF(OR(G72="",K72=""),"",G72*K72)</f>
        <v/>
      </c>
      <c r="M72" s="14"/>
      <c r="N72" s="15"/>
      <c r="O72" s="14"/>
      <c r="P72" s="19" t="str">
        <f aca="false">IF(C72="","",IF(COUNTIF(Trazabilidad!$A$5:$A$60,C72)&gt;0,"✓","Revisar"))</f>
        <v/>
      </c>
      <c r="Q72" s="15"/>
    </row>
    <row r="73" customFormat="false" ht="15" hidden="false" customHeight="false" outlineLevel="0" collapsed="false">
      <c r="A73" s="14"/>
      <c r="B73" s="14"/>
      <c r="C73" s="15"/>
      <c r="D73" s="14"/>
      <c r="E73" s="15"/>
      <c r="F73" s="14"/>
      <c r="G73" s="16"/>
      <c r="H73" s="14"/>
      <c r="I73" s="14"/>
      <c r="J73" s="14"/>
      <c r="K73" s="17"/>
      <c r="L73" s="18" t="str">
        <f aca="false">IF(OR(G73="",K73=""),"",G73*K73)</f>
        <v/>
      </c>
      <c r="M73" s="14"/>
      <c r="N73" s="15"/>
      <c r="O73" s="14"/>
      <c r="P73" s="19" t="str">
        <f aca="false">IF(C73="","",IF(COUNTIF(Trazabilidad!$A$5:$A$60,C73)&gt;0,"✓","Revisar"))</f>
        <v/>
      </c>
      <c r="Q73" s="15"/>
    </row>
    <row r="74" customFormat="false" ht="15" hidden="false" customHeight="false" outlineLevel="0" collapsed="false">
      <c r="A74" s="14"/>
      <c r="B74" s="14"/>
      <c r="C74" s="15"/>
      <c r="D74" s="14"/>
      <c r="E74" s="15"/>
      <c r="F74" s="14"/>
      <c r="G74" s="16"/>
      <c r="H74" s="14"/>
      <c r="I74" s="14"/>
      <c r="J74" s="14"/>
      <c r="K74" s="17"/>
      <c r="L74" s="18" t="str">
        <f aca="false">IF(OR(G74="",K74=""),"",G74*K74)</f>
        <v/>
      </c>
      <c r="M74" s="14"/>
      <c r="N74" s="15"/>
      <c r="O74" s="14"/>
      <c r="P74" s="19" t="str">
        <f aca="false">IF(C74="","",IF(COUNTIF(Trazabilidad!$A$5:$A$60,C74)&gt;0,"✓","Revisar"))</f>
        <v/>
      </c>
      <c r="Q74" s="15"/>
    </row>
    <row r="75" customFormat="false" ht="15" hidden="false" customHeight="false" outlineLevel="0" collapsed="false">
      <c r="A75" s="14"/>
      <c r="B75" s="14"/>
      <c r="C75" s="15"/>
      <c r="D75" s="14"/>
      <c r="E75" s="15"/>
      <c r="F75" s="14"/>
      <c r="G75" s="16"/>
      <c r="H75" s="14"/>
      <c r="I75" s="14"/>
      <c r="J75" s="14"/>
      <c r="K75" s="17"/>
      <c r="L75" s="18" t="str">
        <f aca="false">IF(OR(G75="",K75=""),"",G75*K75)</f>
        <v/>
      </c>
      <c r="M75" s="14"/>
      <c r="N75" s="15"/>
      <c r="O75" s="14"/>
      <c r="P75" s="19" t="str">
        <f aca="false">IF(C75="","",IF(COUNTIF(Trazabilidad!$A$5:$A$60,C75)&gt;0,"✓","Revisar"))</f>
        <v/>
      </c>
      <c r="Q75" s="15"/>
    </row>
    <row r="76" customFormat="false" ht="15" hidden="false" customHeight="false" outlineLevel="0" collapsed="false">
      <c r="A76" s="14"/>
      <c r="B76" s="14"/>
      <c r="C76" s="15"/>
      <c r="D76" s="14"/>
      <c r="E76" s="15"/>
      <c r="F76" s="14"/>
      <c r="G76" s="16"/>
      <c r="H76" s="14"/>
      <c r="I76" s="14"/>
      <c r="J76" s="14"/>
      <c r="K76" s="17"/>
      <c r="L76" s="18" t="str">
        <f aca="false">IF(OR(G76="",K76=""),"",G76*K76)</f>
        <v/>
      </c>
      <c r="M76" s="14"/>
      <c r="N76" s="15"/>
      <c r="O76" s="14"/>
      <c r="P76" s="19" t="str">
        <f aca="false">IF(C76="","",IF(COUNTIF(Trazabilidad!$A$5:$A$60,C76)&gt;0,"✓","Revisar"))</f>
        <v/>
      </c>
      <c r="Q76" s="15"/>
    </row>
    <row r="77" customFormat="false" ht="15" hidden="false" customHeight="false" outlineLevel="0" collapsed="false">
      <c r="A77" s="14"/>
      <c r="B77" s="14"/>
      <c r="C77" s="15"/>
      <c r="D77" s="14"/>
      <c r="E77" s="15"/>
      <c r="F77" s="14"/>
      <c r="G77" s="16"/>
      <c r="H77" s="14"/>
      <c r="I77" s="14"/>
      <c r="J77" s="14"/>
      <c r="K77" s="17"/>
      <c r="L77" s="18" t="str">
        <f aca="false">IF(OR(G77="",K77=""),"",G77*K77)</f>
        <v/>
      </c>
      <c r="M77" s="14"/>
      <c r="N77" s="15"/>
      <c r="O77" s="14"/>
      <c r="P77" s="19" t="str">
        <f aca="false">IF(C77="","",IF(COUNTIF(Trazabilidad!$A$5:$A$60,C77)&gt;0,"✓","Revisar"))</f>
        <v/>
      </c>
      <c r="Q77" s="15"/>
    </row>
    <row r="78" customFormat="false" ht="15" hidden="false" customHeight="false" outlineLevel="0" collapsed="false">
      <c r="A78" s="14"/>
      <c r="B78" s="14"/>
      <c r="C78" s="15"/>
      <c r="D78" s="14"/>
      <c r="E78" s="15"/>
      <c r="F78" s="14"/>
      <c r="G78" s="16"/>
      <c r="H78" s="14"/>
      <c r="I78" s="14"/>
      <c r="J78" s="14"/>
      <c r="K78" s="17"/>
      <c r="L78" s="18" t="str">
        <f aca="false">IF(OR(G78="",K78=""),"",G78*K78)</f>
        <v/>
      </c>
      <c r="M78" s="14"/>
      <c r="N78" s="15"/>
      <c r="O78" s="14"/>
      <c r="P78" s="19" t="str">
        <f aca="false">IF(C78="","",IF(COUNTIF(Trazabilidad!$A$5:$A$60,C78)&gt;0,"✓","Revisar"))</f>
        <v/>
      </c>
      <c r="Q78" s="15"/>
    </row>
    <row r="79" customFormat="false" ht="15" hidden="false" customHeight="false" outlineLevel="0" collapsed="false">
      <c r="A79" s="14"/>
      <c r="B79" s="14"/>
      <c r="C79" s="15"/>
      <c r="D79" s="14"/>
      <c r="E79" s="15"/>
      <c r="F79" s="14"/>
      <c r="G79" s="16"/>
      <c r="H79" s="14"/>
      <c r="I79" s="14"/>
      <c r="J79" s="14"/>
      <c r="K79" s="17"/>
      <c r="L79" s="18" t="str">
        <f aca="false">IF(OR(G79="",K79=""),"",G79*K79)</f>
        <v/>
      </c>
      <c r="M79" s="14"/>
      <c r="N79" s="15"/>
      <c r="O79" s="14"/>
      <c r="P79" s="19" t="str">
        <f aca="false">IF(C79="","",IF(COUNTIF(Trazabilidad!$A$5:$A$60,C79)&gt;0,"✓","Revisar"))</f>
        <v/>
      </c>
      <c r="Q79" s="15"/>
    </row>
    <row r="80" customFormat="false" ht="15" hidden="false" customHeight="false" outlineLevel="0" collapsed="false">
      <c r="A80" s="14"/>
      <c r="B80" s="14"/>
      <c r="C80" s="15"/>
      <c r="D80" s="14"/>
      <c r="E80" s="15"/>
      <c r="F80" s="14"/>
      <c r="G80" s="16"/>
      <c r="H80" s="14"/>
      <c r="I80" s="14"/>
      <c r="J80" s="14"/>
      <c r="K80" s="17"/>
      <c r="L80" s="18" t="str">
        <f aca="false">IF(OR(G80="",K80=""),"",G80*K80)</f>
        <v/>
      </c>
      <c r="M80" s="14"/>
      <c r="N80" s="15"/>
      <c r="O80" s="14"/>
      <c r="P80" s="19" t="str">
        <f aca="false">IF(C80="","",IF(COUNTIF(Trazabilidad!$A$5:$A$60,C80)&gt;0,"✓","Revisar"))</f>
        <v/>
      </c>
      <c r="Q80" s="15"/>
    </row>
    <row r="81" customFormat="false" ht="15" hidden="false" customHeight="false" outlineLevel="0" collapsed="false">
      <c r="A81" s="14"/>
      <c r="B81" s="14"/>
      <c r="C81" s="15"/>
      <c r="D81" s="14"/>
      <c r="E81" s="15"/>
      <c r="F81" s="14"/>
      <c r="G81" s="16"/>
      <c r="H81" s="14"/>
      <c r="I81" s="14"/>
      <c r="J81" s="14"/>
      <c r="K81" s="17"/>
      <c r="L81" s="18" t="str">
        <f aca="false">IF(OR(G81="",K81=""),"",G81*K81)</f>
        <v/>
      </c>
      <c r="M81" s="14"/>
      <c r="N81" s="15"/>
      <c r="O81" s="14"/>
      <c r="P81" s="19" t="str">
        <f aca="false">IF(C81="","",IF(COUNTIF(Trazabilidad!$A$5:$A$60,C81)&gt;0,"✓","Revisar"))</f>
        <v/>
      </c>
      <c r="Q81" s="15"/>
    </row>
    <row r="82" customFormat="false" ht="15" hidden="false" customHeight="false" outlineLevel="0" collapsed="false">
      <c r="A82" s="14"/>
      <c r="B82" s="14"/>
      <c r="C82" s="15"/>
      <c r="D82" s="14"/>
      <c r="E82" s="15"/>
      <c r="F82" s="14"/>
      <c r="G82" s="16"/>
      <c r="H82" s="14"/>
      <c r="I82" s="14"/>
      <c r="J82" s="14"/>
      <c r="K82" s="17"/>
      <c r="L82" s="18" t="str">
        <f aca="false">IF(OR(G82="",K82=""),"",G82*K82)</f>
        <v/>
      </c>
      <c r="M82" s="14"/>
      <c r="N82" s="15"/>
      <c r="O82" s="14"/>
      <c r="P82" s="19" t="str">
        <f aca="false">IF(C82="","",IF(COUNTIF(Trazabilidad!$A$5:$A$60,C82)&gt;0,"✓","Revisar"))</f>
        <v/>
      </c>
      <c r="Q82" s="15"/>
    </row>
    <row r="83" customFormat="false" ht="15" hidden="false" customHeight="false" outlineLevel="0" collapsed="false">
      <c r="A83" s="14"/>
      <c r="B83" s="14"/>
      <c r="C83" s="15"/>
      <c r="D83" s="14"/>
      <c r="E83" s="15"/>
      <c r="F83" s="14"/>
      <c r="G83" s="16"/>
      <c r="H83" s="14"/>
      <c r="I83" s="14"/>
      <c r="J83" s="14"/>
      <c r="K83" s="17"/>
      <c r="L83" s="18" t="str">
        <f aca="false">IF(OR(G83="",K83=""),"",G83*K83)</f>
        <v/>
      </c>
      <c r="M83" s="14"/>
      <c r="N83" s="15"/>
      <c r="O83" s="14"/>
      <c r="P83" s="19" t="str">
        <f aca="false">IF(C83="","",IF(COUNTIF(Trazabilidad!$A$5:$A$60,C83)&gt;0,"✓","Revisar"))</f>
        <v/>
      </c>
      <c r="Q83" s="15"/>
    </row>
    <row r="84" customFormat="false" ht="15" hidden="false" customHeight="false" outlineLevel="0" collapsed="false">
      <c r="A84" s="14"/>
      <c r="B84" s="14"/>
      <c r="C84" s="15"/>
      <c r="D84" s="14"/>
      <c r="E84" s="15"/>
      <c r="F84" s="14"/>
      <c r="G84" s="16"/>
      <c r="H84" s="14"/>
      <c r="I84" s="14"/>
      <c r="J84" s="14"/>
      <c r="K84" s="17"/>
      <c r="L84" s="18" t="str">
        <f aca="false">IF(OR(G84="",K84=""),"",G84*K84)</f>
        <v/>
      </c>
      <c r="M84" s="14"/>
      <c r="N84" s="15"/>
      <c r="O84" s="14"/>
      <c r="P84" s="19" t="str">
        <f aca="false">IF(C84="","",IF(COUNTIF(Trazabilidad!$A$5:$A$60,C84)&gt;0,"✓","Revisar"))</f>
        <v/>
      </c>
      <c r="Q84" s="15"/>
    </row>
    <row r="85" customFormat="false" ht="15" hidden="false" customHeight="false" outlineLevel="0" collapsed="false">
      <c r="A85" s="14"/>
      <c r="B85" s="14"/>
      <c r="C85" s="15"/>
      <c r="D85" s="14"/>
      <c r="E85" s="15"/>
      <c r="F85" s="14"/>
      <c r="G85" s="16"/>
      <c r="H85" s="14"/>
      <c r="I85" s="14"/>
      <c r="J85" s="14"/>
      <c r="K85" s="17"/>
      <c r="L85" s="18" t="str">
        <f aca="false">IF(OR(G85="",K85=""),"",G85*K85)</f>
        <v/>
      </c>
      <c r="M85" s="14"/>
      <c r="N85" s="15"/>
      <c r="O85" s="14"/>
      <c r="P85" s="19" t="str">
        <f aca="false">IF(C85="","",IF(COUNTIF(Trazabilidad!$A$5:$A$60,C85)&gt;0,"✓","Revisar"))</f>
        <v/>
      </c>
      <c r="Q85" s="15"/>
    </row>
    <row r="86" customFormat="false" ht="15" hidden="false" customHeight="false" outlineLevel="0" collapsed="false">
      <c r="A86" s="14"/>
      <c r="B86" s="14"/>
      <c r="C86" s="15"/>
      <c r="D86" s="14"/>
      <c r="E86" s="15"/>
      <c r="F86" s="14"/>
      <c r="G86" s="16"/>
      <c r="H86" s="14"/>
      <c r="I86" s="14"/>
      <c r="J86" s="14"/>
      <c r="K86" s="17"/>
      <c r="L86" s="18" t="str">
        <f aca="false">IF(OR(G86="",K86=""),"",G86*K86)</f>
        <v/>
      </c>
      <c r="M86" s="14"/>
      <c r="N86" s="15"/>
      <c r="O86" s="14"/>
      <c r="P86" s="19" t="str">
        <f aca="false">IF(C86="","",IF(COUNTIF(Trazabilidad!$A$5:$A$60,C86)&gt;0,"✓","Revisar"))</f>
        <v/>
      </c>
      <c r="Q86" s="15"/>
    </row>
    <row r="87" customFormat="false" ht="15" hidden="false" customHeight="false" outlineLevel="0" collapsed="false">
      <c r="A87" s="14"/>
      <c r="B87" s="14"/>
      <c r="C87" s="15"/>
      <c r="D87" s="14"/>
      <c r="E87" s="15"/>
      <c r="F87" s="14"/>
      <c r="G87" s="16"/>
      <c r="H87" s="14"/>
      <c r="I87" s="14"/>
      <c r="J87" s="14"/>
      <c r="K87" s="17"/>
      <c r="L87" s="18" t="str">
        <f aca="false">IF(OR(G87="",K87=""),"",G87*K87)</f>
        <v/>
      </c>
      <c r="M87" s="14"/>
      <c r="N87" s="15"/>
      <c r="O87" s="14"/>
      <c r="P87" s="19" t="str">
        <f aca="false">IF(C87="","",IF(COUNTIF(Trazabilidad!$A$5:$A$60,C87)&gt;0,"✓","Revisar"))</f>
        <v/>
      </c>
      <c r="Q87" s="15"/>
    </row>
    <row r="88" customFormat="false" ht="15" hidden="false" customHeight="false" outlineLevel="0" collapsed="false">
      <c r="A88" s="14"/>
      <c r="B88" s="14"/>
      <c r="C88" s="15"/>
      <c r="D88" s="14"/>
      <c r="E88" s="15"/>
      <c r="F88" s="14"/>
      <c r="G88" s="16"/>
      <c r="H88" s="14"/>
      <c r="I88" s="14"/>
      <c r="J88" s="14"/>
      <c r="K88" s="17"/>
      <c r="L88" s="18" t="str">
        <f aca="false">IF(OR(G88="",K88=""),"",G88*K88)</f>
        <v/>
      </c>
      <c r="M88" s="14"/>
      <c r="N88" s="15"/>
      <c r="O88" s="14"/>
      <c r="P88" s="19" t="str">
        <f aca="false">IF(C88="","",IF(COUNTIF(Trazabilidad!$A$5:$A$60,C88)&gt;0,"✓","Revisar"))</f>
        <v/>
      </c>
      <c r="Q88" s="15"/>
    </row>
    <row r="89" customFormat="false" ht="15" hidden="false" customHeight="false" outlineLevel="0" collapsed="false">
      <c r="A89" s="14"/>
      <c r="B89" s="14"/>
      <c r="C89" s="15"/>
      <c r="D89" s="14"/>
      <c r="E89" s="15"/>
      <c r="F89" s="14"/>
      <c r="G89" s="16"/>
      <c r="H89" s="14"/>
      <c r="I89" s="14"/>
      <c r="J89" s="14"/>
      <c r="K89" s="17"/>
      <c r="L89" s="18" t="str">
        <f aca="false">IF(OR(G89="",K89=""),"",G89*K89)</f>
        <v/>
      </c>
      <c r="M89" s="14"/>
      <c r="N89" s="15"/>
      <c r="O89" s="14"/>
      <c r="P89" s="19" t="str">
        <f aca="false">IF(C89="","",IF(COUNTIF(Trazabilidad!$A$5:$A$60,C89)&gt;0,"✓","Revisar"))</f>
        <v/>
      </c>
      <c r="Q89" s="15"/>
    </row>
    <row r="90" customFormat="false" ht="15" hidden="false" customHeight="false" outlineLevel="0" collapsed="false">
      <c r="A90" s="14"/>
      <c r="B90" s="14"/>
      <c r="C90" s="15"/>
      <c r="D90" s="14"/>
      <c r="E90" s="15"/>
      <c r="F90" s="14"/>
      <c r="G90" s="16"/>
      <c r="H90" s="14"/>
      <c r="I90" s="14"/>
      <c r="J90" s="14"/>
      <c r="K90" s="17"/>
      <c r="L90" s="18" t="str">
        <f aca="false">IF(OR(G90="",K90=""),"",G90*K90)</f>
        <v/>
      </c>
      <c r="M90" s="14"/>
      <c r="N90" s="15"/>
      <c r="O90" s="14"/>
      <c r="P90" s="19" t="str">
        <f aca="false">IF(C90="","",IF(COUNTIF(Trazabilidad!$A$5:$A$60,C90)&gt;0,"✓","Revisar"))</f>
        <v/>
      </c>
      <c r="Q90" s="15"/>
    </row>
    <row r="91" customFormat="false" ht="15" hidden="false" customHeight="false" outlineLevel="0" collapsed="false">
      <c r="A91" s="14"/>
      <c r="B91" s="14"/>
      <c r="C91" s="15"/>
      <c r="D91" s="14"/>
      <c r="E91" s="15"/>
      <c r="F91" s="14"/>
      <c r="G91" s="16"/>
      <c r="H91" s="14"/>
      <c r="I91" s="14"/>
      <c r="J91" s="14"/>
      <c r="K91" s="17"/>
      <c r="L91" s="18" t="str">
        <f aca="false">IF(OR(G91="",K91=""),"",G91*K91)</f>
        <v/>
      </c>
      <c r="M91" s="14"/>
      <c r="N91" s="15"/>
      <c r="O91" s="14"/>
      <c r="P91" s="19" t="str">
        <f aca="false">IF(C91="","",IF(COUNTIF(Trazabilidad!$A$5:$A$60,C91)&gt;0,"✓","Revisar"))</f>
        <v/>
      </c>
      <c r="Q91" s="15"/>
    </row>
    <row r="92" customFormat="false" ht="15" hidden="false" customHeight="false" outlineLevel="0" collapsed="false">
      <c r="A92" s="14"/>
      <c r="B92" s="14"/>
      <c r="C92" s="15"/>
      <c r="D92" s="14"/>
      <c r="E92" s="15"/>
      <c r="F92" s="14"/>
      <c r="G92" s="16"/>
      <c r="H92" s="14"/>
      <c r="I92" s="14"/>
      <c r="J92" s="14"/>
      <c r="K92" s="17"/>
      <c r="L92" s="18" t="str">
        <f aca="false">IF(OR(G92="",K92=""),"",G92*K92)</f>
        <v/>
      </c>
      <c r="M92" s="14"/>
      <c r="N92" s="15"/>
      <c r="O92" s="14"/>
      <c r="P92" s="19" t="str">
        <f aca="false">IF(C92="","",IF(COUNTIF(Trazabilidad!$A$5:$A$60,C92)&gt;0,"✓","Revisar"))</f>
        <v/>
      </c>
      <c r="Q92" s="15"/>
    </row>
    <row r="93" customFormat="false" ht="15" hidden="false" customHeight="false" outlineLevel="0" collapsed="false">
      <c r="A93" s="14"/>
      <c r="B93" s="14"/>
      <c r="C93" s="15"/>
      <c r="D93" s="14"/>
      <c r="E93" s="15"/>
      <c r="F93" s="14"/>
      <c r="G93" s="16"/>
      <c r="H93" s="14"/>
      <c r="I93" s="14"/>
      <c r="J93" s="14"/>
      <c r="K93" s="17"/>
      <c r="L93" s="18" t="str">
        <f aca="false">IF(OR(G93="",K93=""),"",G93*K93)</f>
        <v/>
      </c>
      <c r="M93" s="14"/>
      <c r="N93" s="15"/>
      <c r="O93" s="14"/>
      <c r="P93" s="19" t="str">
        <f aca="false">IF(C93="","",IF(COUNTIF(Trazabilidad!$A$5:$A$60,C93)&gt;0,"✓","Revisar"))</f>
        <v/>
      </c>
      <c r="Q93" s="15"/>
    </row>
    <row r="94" customFormat="false" ht="15" hidden="false" customHeight="false" outlineLevel="0" collapsed="false">
      <c r="A94" s="14"/>
      <c r="B94" s="14"/>
      <c r="C94" s="15"/>
      <c r="D94" s="14"/>
      <c r="E94" s="15"/>
      <c r="F94" s="14"/>
      <c r="G94" s="16"/>
      <c r="H94" s="14"/>
      <c r="I94" s="14"/>
      <c r="J94" s="14"/>
      <c r="K94" s="17"/>
      <c r="L94" s="18" t="str">
        <f aca="false">IF(OR(G94="",K94=""),"",G94*K94)</f>
        <v/>
      </c>
      <c r="M94" s="14"/>
      <c r="N94" s="15"/>
      <c r="O94" s="14"/>
      <c r="P94" s="19" t="str">
        <f aca="false">IF(C94="","",IF(COUNTIF(Trazabilidad!$A$5:$A$60,C94)&gt;0,"✓","Revisar"))</f>
        <v/>
      </c>
      <c r="Q94" s="15"/>
    </row>
    <row r="95" customFormat="false" ht="15" hidden="false" customHeight="false" outlineLevel="0" collapsed="false">
      <c r="A95" s="14"/>
      <c r="B95" s="14"/>
      <c r="C95" s="15"/>
      <c r="D95" s="14"/>
      <c r="E95" s="15"/>
      <c r="F95" s="14"/>
      <c r="G95" s="16"/>
      <c r="H95" s="14"/>
      <c r="I95" s="14"/>
      <c r="J95" s="14"/>
      <c r="K95" s="17"/>
      <c r="L95" s="18" t="str">
        <f aca="false">IF(OR(G95="",K95=""),"",G95*K95)</f>
        <v/>
      </c>
      <c r="M95" s="14"/>
      <c r="N95" s="15"/>
      <c r="O95" s="14"/>
      <c r="P95" s="19" t="str">
        <f aca="false">IF(C95="","",IF(COUNTIF(Trazabilidad!$A$5:$A$60,C95)&gt;0,"✓","Revisar"))</f>
        <v/>
      </c>
      <c r="Q95" s="15"/>
    </row>
    <row r="96" customFormat="false" ht="15" hidden="false" customHeight="false" outlineLevel="0" collapsed="false">
      <c r="A96" s="14"/>
      <c r="B96" s="14"/>
      <c r="C96" s="15"/>
      <c r="D96" s="14"/>
      <c r="E96" s="15"/>
      <c r="F96" s="14"/>
      <c r="G96" s="16"/>
      <c r="H96" s="14"/>
      <c r="I96" s="14"/>
      <c r="J96" s="14"/>
      <c r="K96" s="17"/>
      <c r="L96" s="18" t="str">
        <f aca="false">IF(OR(G96="",K96=""),"",G96*K96)</f>
        <v/>
      </c>
      <c r="M96" s="14"/>
      <c r="N96" s="15"/>
      <c r="O96" s="14"/>
      <c r="P96" s="19" t="str">
        <f aca="false">IF(C96="","",IF(COUNTIF(Trazabilidad!$A$5:$A$60,C96)&gt;0,"✓","Revisar"))</f>
        <v/>
      </c>
      <c r="Q96" s="15"/>
    </row>
    <row r="97" customFormat="false" ht="15" hidden="false" customHeight="false" outlineLevel="0" collapsed="false">
      <c r="A97" s="14"/>
      <c r="B97" s="14"/>
      <c r="C97" s="15"/>
      <c r="D97" s="14"/>
      <c r="E97" s="15"/>
      <c r="F97" s="14"/>
      <c r="G97" s="16"/>
      <c r="H97" s="14"/>
      <c r="I97" s="14"/>
      <c r="J97" s="14"/>
      <c r="K97" s="17"/>
      <c r="L97" s="18" t="str">
        <f aca="false">IF(OR(G97="",K97=""),"",G97*K97)</f>
        <v/>
      </c>
      <c r="M97" s="14"/>
      <c r="N97" s="15"/>
      <c r="O97" s="14"/>
      <c r="P97" s="19" t="str">
        <f aca="false">IF(C97="","",IF(COUNTIF(Trazabilidad!$A$5:$A$60,C97)&gt;0,"✓","Revisar"))</f>
        <v/>
      </c>
      <c r="Q97" s="15"/>
    </row>
    <row r="98" customFormat="false" ht="15" hidden="false" customHeight="false" outlineLevel="0" collapsed="false">
      <c r="A98" s="14"/>
      <c r="B98" s="14"/>
      <c r="C98" s="15"/>
      <c r="D98" s="14"/>
      <c r="E98" s="15"/>
      <c r="F98" s="14"/>
      <c r="G98" s="16"/>
      <c r="H98" s="14"/>
      <c r="I98" s="14"/>
      <c r="J98" s="14"/>
      <c r="K98" s="17"/>
      <c r="L98" s="18" t="str">
        <f aca="false">IF(OR(G98="",K98=""),"",G98*K98)</f>
        <v/>
      </c>
      <c r="M98" s="14"/>
      <c r="N98" s="15"/>
      <c r="O98" s="14"/>
      <c r="P98" s="19" t="str">
        <f aca="false">IF(C98="","",IF(COUNTIF(Trazabilidad!$A$5:$A$60,C98)&gt;0,"✓","Revisar"))</f>
        <v/>
      </c>
      <c r="Q98" s="15"/>
    </row>
    <row r="99" customFormat="false" ht="15" hidden="false" customHeight="false" outlineLevel="0" collapsed="false">
      <c r="A99" s="14"/>
      <c r="B99" s="14"/>
      <c r="C99" s="15"/>
      <c r="D99" s="14"/>
      <c r="E99" s="15"/>
      <c r="F99" s="14"/>
      <c r="G99" s="16"/>
      <c r="H99" s="14"/>
      <c r="I99" s="14"/>
      <c r="J99" s="14"/>
      <c r="K99" s="17"/>
      <c r="L99" s="18" t="str">
        <f aca="false">IF(OR(G99="",K99=""),"",G99*K99)</f>
        <v/>
      </c>
      <c r="M99" s="14"/>
      <c r="N99" s="15"/>
      <c r="O99" s="14"/>
      <c r="P99" s="19" t="str">
        <f aca="false">IF(C99="","",IF(COUNTIF(Trazabilidad!$A$5:$A$60,C99)&gt;0,"✓","Revisar"))</f>
        <v/>
      </c>
      <c r="Q99" s="15"/>
    </row>
    <row r="100" customFormat="false" ht="15" hidden="false" customHeight="false" outlineLevel="0" collapsed="false">
      <c r="A100" s="14"/>
      <c r="B100" s="14"/>
      <c r="C100" s="15"/>
      <c r="D100" s="14"/>
      <c r="E100" s="15"/>
      <c r="F100" s="14"/>
      <c r="G100" s="16"/>
      <c r="H100" s="14"/>
      <c r="I100" s="14"/>
      <c r="J100" s="14"/>
      <c r="K100" s="17"/>
      <c r="L100" s="18" t="str">
        <f aca="false">IF(OR(G100="",K100=""),"",G100*K100)</f>
        <v/>
      </c>
      <c r="M100" s="14"/>
      <c r="N100" s="15"/>
      <c r="O100" s="14"/>
      <c r="P100" s="19" t="str">
        <f aca="false">IF(C100="","",IF(COUNTIF(Trazabilidad!$A$5:$A$60,C100)&gt;0,"✓","Revisar"))</f>
        <v/>
      </c>
      <c r="Q100" s="15"/>
    </row>
    <row r="101" customFormat="false" ht="15" hidden="false" customHeight="false" outlineLevel="0" collapsed="false">
      <c r="A101" s="14"/>
      <c r="B101" s="14"/>
      <c r="C101" s="15"/>
      <c r="D101" s="14"/>
      <c r="E101" s="15"/>
      <c r="F101" s="14"/>
      <c r="G101" s="16"/>
      <c r="H101" s="14"/>
      <c r="I101" s="14"/>
      <c r="J101" s="14"/>
      <c r="K101" s="17"/>
      <c r="L101" s="18" t="str">
        <f aca="false">IF(OR(G101="",K101=""),"",G101*K101)</f>
        <v/>
      </c>
      <c r="M101" s="14"/>
      <c r="N101" s="15"/>
      <c r="O101" s="14"/>
      <c r="P101" s="19" t="str">
        <f aca="false">IF(C101="","",IF(COUNTIF(Trazabilidad!$A$5:$A$60,C101)&gt;0,"✓","Revisar"))</f>
        <v/>
      </c>
      <c r="Q101" s="15"/>
    </row>
    <row r="102" customFormat="false" ht="15" hidden="false" customHeight="false" outlineLevel="0" collapsed="false">
      <c r="A102" s="14"/>
      <c r="B102" s="14"/>
      <c r="C102" s="15"/>
      <c r="D102" s="14"/>
      <c r="E102" s="15"/>
      <c r="F102" s="14"/>
      <c r="G102" s="16"/>
      <c r="H102" s="14"/>
      <c r="I102" s="14"/>
      <c r="J102" s="14"/>
      <c r="K102" s="17"/>
      <c r="L102" s="18" t="str">
        <f aca="false">IF(OR(G102="",K102=""),"",G102*K102)</f>
        <v/>
      </c>
      <c r="M102" s="14"/>
      <c r="N102" s="15"/>
      <c r="O102" s="14"/>
      <c r="P102" s="19" t="str">
        <f aca="false">IF(C102="","",IF(COUNTIF(Trazabilidad!$A$5:$A$60,C102)&gt;0,"✓","Revisar"))</f>
        <v/>
      </c>
      <c r="Q102" s="15"/>
    </row>
    <row r="103" customFormat="false" ht="15" hidden="false" customHeight="false" outlineLevel="0" collapsed="false">
      <c r="A103" s="14"/>
      <c r="B103" s="14"/>
      <c r="C103" s="15"/>
      <c r="D103" s="14"/>
      <c r="E103" s="15"/>
      <c r="F103" s="14"/>
      <c r="G103" s="16"/>
      <c r="H103" s="14"/>
      <c r="I103" s="14"/>
      <c r="J103" s="14"/>
      <c r="K103" s="17"/>
      <c r="L103" s="18" t="str">
        <f aca="false">IF(OR(G103="",K103=""),"",G103*K103)</f>
        <v/>
      </c>
      <c r="M103" s="14"/>
      <c r="N103" s="15"/>
      <c r="O103" s="14"/>
      <c r="P103" s="19" t="str">
        <f aca="false">IF(C103="","",IF(COUNTIF(Trazabilidad!$A$5:$A$60,C103)&gt;0,"✓","Revisar"))</f>
        <v/>
      </c>
      <c r="Q103" s="15"/>
    </row>
    <row r="104" customFormat="false" ht="15" hidden="false" customHeight="false" outlineLevel="0" collapsed="false">
      <c r="A104" s="14"/>
      <c r="B104" s="14"/>
      <c r="C104" s="15"/>
      <c r="D104" s="14"/>
      <c r="E104" s="15"/>
      <c r="F104" s="14"/>
      <c r="G104" s="16"/>
      <c r="H104" s="14"/>
      <c r="I104" s="14"/>
      <c r="J104" s="14"/>
      <c r="K104" s="17"/>
      <c r="L104" s="18" t="str">
        <f aca="false">IF(OR(G104="",K104=""),"",G104*K104)</f>
        <v/>
      </c>
      <c r="M104" s="14"/>
      <c r="N104" s="15"/>
      <c r="O104" s="14"/>
      <c r="P104" s="19" t="str">
        <f aca="false">IF(C104="","",IF(COUNTIF(Trazabilidad!$A$5:$A$60,C104)&gt;0,"✓","Revisar"))</f>
        <v/>
      </c>
      <c r="Q104" s="15"/>
    </row>
    <row r="105" customFormat="false" ht="15" hidden="false" customHeight="false" outlineLevel="0" collapsed="false">
      <c r="A105" s="14"/>
      <c r="B105" s="14"/>
      <c r="C105" s="15"/>
      <c r="D105" s="14"/>
      <c r="E105" s="15"/>
      <c r="F105" s="14"/>
      <c r="G105" s="16"/>
      <c r="H105" s="14"/>
      <c r="I105" s="14"/>
      <c r="J105" s="14"/>
      <c r="K105" s="17"/>
      <c r="L105" s="18" t="str">
        <f aca="false">IF(OR(G105="",K105=""),"",G105*K105)</f>
        <v/>
      </c>
      <c r="M105" s="14"/>
      <c r="N105" s="15"/>
      <c r="O105" s="14"/>
      <c r="P105" s="19" t="str">
        <f aca="false">IF(C105="","",IF(COUNTIF(Trazabilidad!$A$5:$A$60,C105)&gt;0,"✓","Revisar"))</f>
        <v/>
      </c>
      <c r="Q105" s="15"/>
    </row>
    <row r="106" customFormat="false" ht="15" hidden="false" customHeight="false" outlineLevel="0" collapsed="false">
      <c r="A106" s="14"/>
      <c r="B106" s="14"/>
      <c r="C106" s="15"/>
      <c r="D106" s="14"/>
      <c r="E106" s="15"/>
      <c r="F106" s="14"/>
      <c r="G106" s="16"/>
      <c r="H106" s="14"/>
      <c r="I106" s="14"/>
      <c r="J106" s="14"/>
      <c r="K106" s="17"/>
      <c r="L106" s="18" t="str">
        <f aca="false">IF(OR(G106="",K106=""),"",G106*K106)</f>
        <v/>
      </c>
      <c r="M106" s="14"/>
      <c r="N106" s="15"/>
      <c r="O106" s="14"/>
      <c r="P106" s="19" t="str">
        <f aca="false">IF(C106="","",IF(COUNTIF(Trazabilidad!$A$5:$A$60,C106)&gt;0,"✓","Revisar"))</f>
        <v/>
      </c>
      <c r="Q106" s="15"/>
    </row>
    <row r="107" customFormat="false" ht="15" hidden="false" customHeight="false" outlineLevel="0" collapsed="false">
      <c r="A107" s="14"/>
      <c r="B107" s="14"/>
      <c r="C107" s="15"/>
      <c r="D107" s="14"/>
      <c r="E107" s="15"/>
      <c r="F107" s="14"/>
      <c r="G107" s="16"/>
      <c r="H107" s="14"/>
      <c r="I107" s="14"/>
      <c r="J107" s="14"/>
      <c r="K107" s="17"/>
      <c r="L107" s="18" t="str">
        <f aca="false">IF(OR(G107="",K107=""),"",G107*K107)</f>
        <v/>
      </c>
      <c r="M107" s="14"/>
      <c r="N107" s="15"/>
      <c r="O107" s="14"/>
      <c r="P107" s="19" t="str">
        <f aca="false">IF(C107="","",IF(COUNTIF(Trazabilidad!$A$5:$A$60,C107)&gt;0,"✓","Revisar"))</f>
        <v/>
      </c>
      <c r="Q107" s="15"/>
    </row>
    <row r="108" customFormat="false" ht="15" hidden="false" customHeight="false" outlineLevel="0" collapsed="false">
      <c r="A108" s="14"/>
      <c r="B108" s="14"/>
      <c r="C108" s="15"/>
      <c r="D108" s="14"/>
      <c r="E108" s="15"/>
      <c r="F108" s="14"/>
      <c r="G108" s="16"/>
      <c r="H108" s="14"/>
      <c r="I108" s="14"/>
      <c r="J108" s="14"/>
      <c r="K108" s="17"/>
      <c r="L108" s="18" t="str">
        <f aca="false">IF(OR(G108="",K108=""),"",G108*K108)</f>
        <v/>
      </c>
      <c r="M108" s="14"/>
      <c r="N108" s="15"/>
      <c r="O108" s="14"/>
      <c r="P108" s="19" t="str">
        <f aca="false">IF(C108="","",IF(COUNTIF(Trazabilidad!$A$5:$A$60,C108)&gt;0,"✓","Revisar"))</f>
        <v/>
      </c>
      <c r="Q108" s="15"/>
    </row>
    <row r="109" customFormat="false" ht="15" hidden="false" customHeight="false" outlineLevel="0" collapsed="false">
      <c r="A109" s="14"/>
      <c r="B109" s="14"/>
      <c r="C109" s="15"/>
      <c r="D109" s="14"/>
      <c r="E109" s="15"/>
      <c r="F109" s="14"/>
      <c r="G109" s="16"/>
      <c r="H109" s="14"/>
      <c r="I109" s="14"/>
      <c r="J109" s="14"/>
      <c r="K109" s="17"/>
      <c r="L109" s="18" t="str">
        <f aca="false">IF(OR(G109="",K109=""),"",G109*K109)</f>
        <v/>
      </c>
      <c r="M109" s="14"/>
      <c r="N109" s="15"/>
      <c r="O109" s="14"/>
      <c r="P109" s="19" t="str">
        <f aca="false">IF(C109="","",IF(COUNTIF(Trazabilidad!$A$5:$A$60,C109)&gt;0,"✓","Revisar"))</f>
        <v/>
      </c>
      <c r="Q109" s="15"/>
    </row>
    <row r="110" customFormat="false" ht="15" hidden="false" customHeight="false" outlineLevel="0" collapsed="false">
      <c r="A110" s="14"/>
      <c r="B110" s="14"/>
      <c r="C110" s="15"/>
      <c r="D110" s="14"/>
      <c r="E110" s="15"/>
      <c r="F110" s="14"/>
      <c r="G110" s="16"/>
      <c r="H110" s="14"/>
      <c r="I110" s="14"/>
      <c r="J110" s="14"/>
      <c r="K110" s="17"/>
      <c r="L110" s="18" t="str">
        <f aca="false">IF(OR(G110="",K110=""),"",G110*K110)</f>
        <v/>
      </c>
      <c r="M110" s="14"/>
      <c r="N110" s="15"/>
      <c r="O110" s="14"/>
      <c r="P110" s="19" t="str">
        <f aca="false">IF(C110="","",IF(COUNTIF(Trazabilidad!$A$5:$A$60,C110)&gt;0,"✓","Revisar"))</f>
        <v/>
      </c>
      <c r="Q110" s="15"/>
    </row>
    <row r="111" customFormat="false" ht="15" hidden="false" customHeight="false" outlineLevel="0" collapsed="false">
      <c r="A111" s="14"/>
      <c r="B111" s="14"/>
      <c r="C111" s="15"/>
      <c r="D111" s="14"/>
      <c r="E111" s="15"/>
      <c r="F111" s="14"/>
      <c r="G111" s="16"/>
      <c r="H111" s="14"/>
      <c r="I111" s="14"/>
      <c r="J111" s="14"/>
      <c r="K111" s="17"/>
      <c r="L111" s="18" t="str">
        <f aca="false">IF(OR(G111="",K111=""),"",G111*K111)</f>
        <v/>
      </c>
      <c r="M111" s="14"/>
      <c r="N111" s="15"/>
      <c r="O111" s="14"/>
      <c r="P111" s="19" t="str">
        <f aca="false">IF(C111="","",IF(COUNTIF(Trazabilidad!$A$5:$A$60,C111)&gt;0,"✓","Revisar"))</f>
        <v/>
      </c>
      <c r="Q111" s="15"/>
    </row>
    <row r="112" customFormat="false" ht="15" hidden="false" customHeight="false" outlineLevel="0" collapsed="false">
      <c r="A112" s="14"/>
      <c r="B112" s="14"/>
      <c r="C112" s="15"/>
      <c r="D112" s="14"/>
      <c r="E112" s="15"/>
      <c r="F112" s="14"/>
      <c r="G112" s="16"/>
      <c r="H112" s="14"/>
      <c r="I112" s="14"/>
      <c r="J112" s="14"/>
      <c r="K112" s="17"/>
      <c r="L112" s="18" t="str">
        <f aca="false">IF(OR(G112="",K112=""),"",G112*K112)</f>
        <v/>
      </c>
      <c r="M112" s="14"/>
      <c r="N112" s="15"/>
      <c r="O112" s="14"/>
      <c r="P112" s="19" t="str">
        <f aca="false">IF(C112="","",IF(COUNTIF(Trazabilidad!$A$5:$A$60,C112)&gt;0,"✓","Revisar"))</f>
        <v/>
      </c>
      <c r="Q112" s="15"/>
    </row>
    <row r="113" customFormat="false" ht="15" hidden="false" customHeight="false" outlineLevel="0" collapsed="false">
      <c r="A113" s="14"/>
      <c r="B113" s="14"/>
      <c r="C113" s="15"/>
      <c r="D113" s="14"/>
      <c r="E113" s="15"/>
      <c r="F113" s="14"/>
      <c r="G113" s="16"/>
      <c r="H113" s="14"/>
      <c r="I113" s="14"/>
      <c r="J113" s="14"/>
      <c r="K113" s="17"/>
      <c r="L113" s="18" t="str">
        <f aca="false">IF(OR(G113="",K113=""),"",G113*K113)</f>
        <v/>
      </c>
      <c r="M113" s="14"/>
      <c r="N113" s="15"/>
      <c r="O113" s="14"/>
      <c r="P113" s="19" t="str">
        <f aca="false">IF(C113="","",IF(COUNTIF(Trazabilidad!$A$5:$A$60,C113)&gt;0,"✓","Revisar"))</f>
        <v/>
      </c>
      <c r="Q113" s="15"/>
    </row>
    <row r="114" customFormat="false" ht="15" hidden="false" customHeight="false" outlineLevel="0" collapsed="false">
      <c r="A114" s="14"/>
      <c r="B114" s="14"/>
      <c r="C114" s="15"/>
      <c r="D114" s="14"/>
      <c r="E114" s="15"/>
      <c r="F114" s="14"/>
      <c r="G114" s="16"/>
      <c r="H114" s="14"/>
      <c r="I114" s="14"/>
      <c r="J114" s="14"/>
      <c r="K114" s="17"/>
      <c r="L114" s="18" t="str">
        <f aca="false">IF(OR(G114="",K114=""),"",G114*K114)</f>
        <v/>
      </c>
      <c r="M114" s="14"/>
      <c r="N114" s="15"/>
      <c r="O114" s="14"/>
      <c r="P114" s="19" t="str">
        <f aca="false">IF(C114="","",IF(COUNTIF(Trazabilidad!$A$5:$A$60,C114)&gt;0,"✓","Revisar"))</f>
        <v/>
      </c>
      <c r="Q114" s="15"/>
    </row>
    <row r="115" customFormat="false" ht="15" hidden="false" customHeight="false" outlineLevel="0" collapsed="false">
      <c r="A115" s="14"/>
      <c r="B115" s="14"/>
      <c r="C115" s="15"/>
      <c r="D115" s="14"/>
      <c r="E115" s="15"/>
      <c r="F115" s="14"/>
      <c r="G115" s="16"/>
      <c r="H115" s="14"/>
      <c r="I115" s="14"/>
      <c r="J115" s="14"/>
      <c r="K115" s="17"/>
      <c r="L115" s="18" t="str">
        <f aca="false">IF(OR(G115="",K115=""),"",G115*K115)</f>
        <v/>
      </c>
      <c r="M115" s="14"/>
      <c r="N115" s="15"/>
      <c r="O115" s="14"/>
      <c r="P115" s="19" t="str">
        <f aca="false">IF(C115="","",IF(COUNTIF(Trazabilidad!$A$5:$A$60,C115)&gt;0,"✓","Revisar"))</f>
        <v/>
      </c>
      <c r="Q115" s="15"/>
    </row>
    <row r="116" customFormat="false" ht="15" hidden="false" customHeight="false" outlineLevel="0" collapsed="false">
      <c r="A116" s="14"/>
      <c r="B116" s="14"/>
      <c r="C116" s="15"/>
      <c r="D116" s="14"/>
      <c r="E116" s="15"/>
      <c r="F116" s="14"/>
      <c r="G116" s="16"/>
      <c r="H116" s="14"/>
      <c r="I116" s="14"/>
      <c r="J116" s="14"/>
      <c r="K116" s="17"/>
      <c r="L116" s="18" t="str">
        <f aca="false">IF(OR(G116="",K116=""),"",G116*K116)</f>
        <v/>
      </c>
      <c r="M116" s="14"/>
      <c r="N116" s="15"/>
      <c r="O116" s="14"/>
      <c r="P116" s="19" t="str">
        <f aca="false">IF(C116="","",IF(COUNTIF(Trazabilidad!$A$5:$A$60,C116)&gt;0,"✓","Revisar"))</f>
        <v/>
      </c>
      <c r="Q116" s="15"/>
    </row>
    <row r="117" customFormat="false" ht="15" hidden="false" customHeight="false" outlineLevel="0" collapsed="false">
      <c r="A117" s="14"/>
      <c r="B117" s="14"/>
      <c r="C117" s="15"/>
      <c r="D117" s="14"/>
      <c r="E117" s="15"/>
      <c r="F117" s="14"/>
      <c r="G117" s="16"/>
      <c r="H117" s="14"/>
      <c r="I117" s="14"/>
      <c r="J117" s="14"/>
      <c r="K117" s="17"/>
      <c r="L117" s="18" t="str">
        <f aca="false">IF(OR(G117="",K117=""),"",G117*K117)</f>
        <v/>
      </c>
      <c r="M117" s="14"/>
      <c r="N117" s="15"/>
      <c r="O117" s="14"/>
      <c r="P117" s="19" t="str">
        <f aca="false">IF(C117="","",IF(COUNTIF(Trazabilidad!$A$5:$A$60,C117)&gt;0,"✓","Revisar"))</f>
        <v/>
      </c>
      <c r="Q117" s="15"/>
    </row>
    <row r="118" customFormat="false" ht="15" hidden="false" customHeight="false" outlineLevel="0" collapsed="false">
      <c r="A118" s="14"/>
      <c r="B118" s="14"/>
      <c r="C118" s="15"/>
      <c r="D118" s="14"/>
      <c r="E118" s="15"/>
      <c r="F118" s="14"/>
      <c r="G118" s="16"/>
      <c r="H118" s="14"/>
      <c r="I118" s="14"/>
      <c r="J118" s="14"/>
      <c r="K118" s="17"/>
      <c r="L118" s="18" t="str">
        <f aca="false">IF(OR(G118="",K118=""),"",G118*K118)</f>
        <v/>
      </c>
      <c r="M118" s="14"/>
      <c r="N118" s="15"/>
      <c r="O118" s="14"/>
      <c r="P118" s="19" t="str">
        <f aca="false">IF(C118="","",IF(COUNTIF(Trazabilidad!$A$5:$A$60,C118)&gt;0,"✓","Revisar"))</f>
        <v/>
      </c>
      <c r="Q118" s="15"/>
    </row>
    <row r="119" customFormat="false" ht="15" hidden="false" customHeight="false" outlineLevel="0" collapsed="false">
      <c r="A119" s="14"/>
      <c r="B119" s="14"/>
      <c r="C119" s="15"/>
      <c r="D119" s="14"/>
      <c r="E119" s="15"/>
      <c r="F119" s="14"/>
      <c r="G119" s="16"/>
      <c r="H119" s="14"/>
      <c r="I119" s="14"/>
      <c r="J119" s="14"/>
      <c r="K119" s="17"/>
      <c r="L119" s="18" t="str">
        <f aca="false">IF(OR(G119="",K119=""),"",G119*K119)</f>
        <v/>
      </c>
      <c r="M119" s="14"/>
      <c r="N119" s="15"/>
      <c r="O119" s="14"/>
      <c r="P119" s="19" t="str">
        <f aca="false">IF(C119="","",IF(COUNTIF(Trazabilidad!$A$5:$A$60,C119)&gt;0,"✓","Revisar"))</f>
        <v/>
      </c>
      <c r="Q119" s="15"/>
    </row>
    <row r="120" customFormat="false" ht="15" hidden="false" customHeight="false" outlineLevel="0" collapsed="false">
      <c r="A120" s="14"/>
      <c r="B120" s="14"/>
      <c r="C120" s="15"/>
      <c r="D120" s="14"/>
      <c r="E120" s="15"/>
      <c r="F120" s="14"/>
      <c r="G120" s="16"/>
      <c r="H120" s="14"/>
      <c r="I120" s="14"/>
      <c r="J120" s="14"/>
      <c r="K120" s="17"/>
      <c r="L120" s="18" t="str">
        <f aca="false">IF(OR(G120="",K120=""),"",G120*K120)</f>
        <v/>
      </c>
      <c r="M120" s="14"/>
      <c r="N120" s="15"/>
      <c r="O120" s="14"/>
      <c r="P120" s="19" t="str">
        <f aca="false">IF(C120="","",IF(COUNTIF(Trazabilidad!$A$5:$A$60,C120)&gt;0,"✓","Revisar"))</f>
        <v/>
      </c>
      <c r="Q120" s="15"/>
    </row>
    <row r="121" customFormat="false" ht="15" hidden="false" customHeight="false" outlineLevel="0" collapsed="false">
      <c r="A121" s="14"/>
      <c r="B121" s="14"/>
      <c r="C121" s="15"/>
      <c r="D121" s="14"/>
      <c r="E121" s="15"/>
      <c r="F121" s="14"/>
      <c r="G121" s="16"/>
      <c r="H121" s="14"/>
      <c r="I121" s="14"/>
      <c r="J121" s="14"/>
      <c r="K121" s="17"/>
      <c r="L121" s="18" t="str">
        <f aca="false">IF(OR(G121="",K121=""),"",G121*K121)</f>
        <v/>
      </c>
      <c r="M121" s="14"/>
      <c r="N121" s="15"/>
      <c r="O121" s="14"/>
      <c r="P121" s="19" t="str">
        <f aca="false">IF(C121="","",IF(COUNTIF(Trazabilidad!$A$5:$A$60,C121)&gt;0,"✓","Revisar"))</f>
        <v/>
      </c>
      <c r="Q121" s="15"/>
    </row>
    <row r="122" customFormat="false" ht="15" hidden="false" customHeight="false" outlineLevel="0" collapsed="false">
      <c r="A122" s="14"/>
      <c r="B122" s="14"/>
      <c r="C122" s="15"/>
      <c r="D122" s="14"/>
      <c r="E122" s="15"/>
      <c r="F122" s="14"/>
      <c r="G122" s="16"/>
      <c r="H122" s="14"/>
      <c r="I122" s="14"/>
      <c r="J122" s="14"/>
      <c r="K122" s="17"/>
      <c r="L122" s="18" t="str">
        <f aca="false">IF(OR(G122="",K122=""),"",G122*K122)</f>
        <v/>
      </c>
      <c r="M122" s="14"/>
      <c r="N122" s="15"/>
      <c r="O122" s="14"/>
      <c r="P122" s="19" t="str">
        <f aca="false">IF(C122="","",IF(COUNTIF(Trazabilidad!$A$5:$A$60,C122)&gt;0,"✓","Revisar"))</f>
        <v/>
      </c>
      <c r="Q122" s="15"/>
    </row>
    <row r="123" customFormat="false" ht="15" hidden="false" customHeight="false" outlineLevel="0" collapsed="false">
      <c r="A123" s="14"/>
      <c r="B123" s="14"/>
      <c r="C123" s="15"/>
      <c r="D123" s="14"/>
      <c r="E123" s="15"/>
      <c r="F123" s="14"/>
      <c r="G123" s="16"/>
      <c r="H123" s="14"/>
      <c r="I123" s="14"/>
      <c r="J123" s="14"/>
      <c r="K123" s="17"/>
      <c r="L123" s="18" t="str">
        <f aca="false">IF(OR(G123="",K123=""),"",G123*K123)</f>
        <v/>
      </c>
      <c r="M123" s="14"/>
      <c r="N123" s="15"/>
      <c r="O123" s="14"/>
      <c r="P123" s="19" t="str">
        <f aca="false">IF(C123="","",IF(COUNTIF(Trazabilidad!$A$5:$A$60,C123)&gt;0,"✓","Revisar"))</f>
        <v/>
      </c>
      <c r="Q123" s="15"/>
    </row>
    <row r="124" customFormat="false" ht="15" hidden="false" customHeight="false" outlineLevel="0" collapsed="false">
      <c r="A124" s="14"/>
      <c r="B124" s="14"/>
      <c r="C124" s="15"/>
      <c r="D124" s="14"/>
      <c r="E124" s="15"/>
      <c r="F124" s="14"/>
      <c r="G124" s="16"/>
      <c r="H124" s="14"/>
      <c r="I124" s="14"/>
      <c r="J124" s="14"/>
      <c r="K124" s="17"/>
      <c r="L124" s="18" t="str">
        <f aca="false">IF(OR(G124="",K124=""),"",G124*K124)</f>
        <v/>
      </c>
      <c r="M124" s="14"/>
      <c r="N124" s="15"/>
      <c r="O124" s="14"/>
      <c r="P124" s="19" t="str">
        <f aca="false">IF(C124="","",IF(COUNTIF(Trazabilidad!$A$5:$A$60,C124)&gt;0,"✓","Revisar"))</f>
        <v/>
      </c>
      <c r="Q124" s="15"/>
    </row>
    <row r="125" customFormat="false" ht="15" hidden="false" customHeight="false" outlineLevel="0" collapsed="false">
      <c r="A125" s="14"/>
      <c r="B125" s="14"/>
      <c r="C125" s="15"/>
      <c r="D125" s="14"/>
      <c r="E125" s="15"/>
      <c r="F125" s="14"/>
      <c r="G125" s="16"/>
      <c r="H125" s="14"/>
      <c r="I125" s="14"/>
      <c r="J125" s="14"/>
      <c r="K125" s="17"/>
      <c r="L125" s="18" t="str">
        <f aca="false">IF(OR(G125="",K125=""),"",G125*K125)</f>
        <v/>
      </c>
      <c r="M125" s="14"/>
      <c r="N125" s="15"/>
      <c r="O125" s="14"/>
      <c r="P125" s="19" t="str">
        <f aca="false">IF(C125="","",IF(COUNTIF(Trazabilidad!$A$5:$A$60,C125)&gt;0,"✓","Revisar"))</f>
        <v/>
      </c>
      <c r="Q125" s="15"/>
    </row>
    <row r="126" customFormat="false" ht="15" hidden="false" customHeight="false" outlineLevel="0" collapsed="false">
      <c r="A126" s="14"/>
      <c r="B126" s="14"/>
      <c r="C126" s="15"/>
      <c r="D126" s="14"/>
      <c r="E126" s="15"/>
      <c r="F126" s="14"/>
      <c r="G126" s="16"/>
      <c r="H126" s="14"/>
      <c r="I126" s="14"/>
      <c r="J126" s="14"/>
      <c r="K126" s="17"/>
      <c r="L126" s="18" t="str">
        <f aca="false">IF(OR(G126="",K126=""),"",G126*K126)</f>
        <v/>
      </c>
      <c r="M126" s="14"/>
      <c r="N126" s="15"/>
      <c r="O126" s="14"/>
      <c r="P126" s="19" t="str">
        <f aca="false">IF(C126="","",IF(COUNTIF(Trazabilidad!$A$5:$A$60,C126)&gt;0,"✓","Revisar"))</f>
        <v/>
      </c>
      <c r="Q126" s="15"/>
    </row>
    <row r="127" customFormat="false" ht="15" hidden="false" customHeight="false" outlineLevel="0" collapsed="false">
      <c r="A127" s="14"/>
      <c r="B127" s="14"/>
      <c r="C127" s="15"/>
      <c r="D127" s="14"/>
      <c r="E127" s="15"/>
      <c r="F127" s="14"/>
      <c r="G127" s="16"/>
      <c r="H127" s="14"/>
      <c r="I127" s="14"/>
      <c r="J127" s="14"/>
      <c r="K127" s="17"/>
      <c r="L127" s="18" t="str">
        <f aca="false">IF(OR(G127="",K127=""),"",G127*K127)</f>
        <v/>
      </c>
      <c r="M127" s="14"/>
      <c r="N127" s="15"/>
      <c r="O127" s="14"/>
      <c r="P127" s="19" t="str">
        <f aca="false">IF(C127="","",IF(COUNTIF(Trazabilidad!$A$5:$A$60,C127)&gt;0,"✓","Revisar"))</f>
        <v/>
      </c>
      <c r="Q127" s="15"/>
    </row>
    <row r="128" customFormat="false" ht="15" hidden="false" customHeight="false" outlineLevel="0" collapsed="false">
      <c r="A128" s="14"/>
      <c r="B128" s="14"/>
      <c r="C128" s="15"/>
      <c r="D128" s="14"/>
      <c r="E128" s="15"/>
      <c r="F128" s="14"/>
      <c r="G128" s="16"/>
      <c r="H128" s="14"/>
      <c r="I128" s="14"/>
      <c r="J128" s="14"/>
      <c r="K128" s="17"/>
      <c r="L128" s="18" t="str">
        <f aca="false">IF(OR(G128="",K128=""),"",G128*K128)</f>
        <v/>
      </c>
      <c r="M128" s="14"/>
      <c r="N128" s="15"/>
      <c r="O128" s="14"/>
      <c r="P128" s="19" t="str">
        <f aca="false">IF(C128="","",IF(COUNTIF(Trazabilidad!$A$5:$A$60,C128)&gt;0,"✓","Revisar"))</f>
        <v/>
      </c>
      <c r="Q128" s="15"/>
    </row>
    <row r="129" customFormat="false" ht="15" hidden="false" customHeight="false" outlineLevel="0" collapsed="false">
      <c r="A129" s="14"/>
      <c r="B129" s="14"/>
      <c r="C129" s="15"/>
      <c r="D129" s="14"/>
      <c r="E129" s="15"/>
      <c r="F129" s="14"/>
      <c r="G129" s="16"/>
      <c r="H129" s="14"/>
      <c r="I129" s="14"/>
      <c r="J129" s="14"/>
      <c r="K129" s="17"/>
      <c r="L129" s="18" t="str">
        <f aca="false">IF(OR(G129="",K129=""),"",G129*K129)</f>
        <v/>
      </c>
      <c r="M129" s="14"/>
      <c r="N129" s="15"/>
      <c r="O129" s="14"/>
      <c r="P129" s="19" t="str">
        <f aca="false">IF(C129="","",IF(COUNTIF(Trazabilidad!$A$5:$A$60,C129)&gt;0,"✓","Revisar"))</f>
        <v/>
      </c>
      <c r="Q129" s="15"/>
    </row>
    <row r="130" customFormat="false" ht="15" hidden="false" customHeight="false" outlineLevel="0" collapsed="false">
      <c r="A130" s="14"/>
      <c r="B130" s="14"/>
      <c r="C130" s="15"/>
      <c r="D130" s="14"/>
      <c r="E130" s="15"/>
      <c r="F130" s="14"/>
      <c r="G130" s="16"/>
      <c r="H130" s="14"/>
      <c r="I130" s="14"/>
      <c r="J130" s="14"/>
      <c r="K130" s="17"/>
      <c r="L130" s="18" t="str">
        <f aca="false">IF(OR(G130="",K130=""),"",G130*K130)</f>
        <v/>
      </c>
      <c r="M130" s="14"/>
      <c r="N130" s="15"/>
      <c r="O130" s="14"/>
      <c r="P130" s="19" t="str">
        <f aca="false">IF(C130="","",IF(COUNTIF(Trazabilidad!$A$5:$A$60,C130)&gt;0,"✓","Revisar"))</f>
        <v/>
      </c>
      <c r="Q130" s="15"/>
    </row>
    <row r="131" customFormat="false" ht="15" hidden="false" customHeight="false" outlineLevel="0" collapsed="false">
      <c r="A131" s="14"/>
      <c r="B131" s="14"/>
      <c r="C131" s="15"/>
      <c r="D131" s="14"/>
      <c r="E131" s="15"/>
      <c r="F131" s="14"/>
      <c r="G131" s="16"/>
      <c r="H131" s="14"/>
      <c r="I131" s="14"/>
      <c r="J131" s="14"/>
      <c r="K131" s="17"/>
      <c r="L131" s="18" t="str">
        <f aca="false">IF(OR(G131="",K131=""),"",G131*K131)</f>
        <v/>
      </c>
      <c r="M131" s="14"/>
      <c r="N131" s="15"/>
      <c r="O131" s="14"/>
      <c r="P131" s="19" t="str">
        <f aca="false">IF(C131="","",IF(COUNTIF(Trazabilidad!$A$5:$A$60,C131)&gt;0,"✓","Revisar"))</f>
        <v/>
      </c>
      <c r="Q131" s="15"/>
    </row>
    <row r="132" customFormat="false" ht="15" hidden="false" customHeight="false" outlineLevel="0" collapsed="false">
      <c r="A132" s="14"/>
      <c r="B132" s="14"/>
      <c r="C132" s="15"/>
      <c r="D132" s="14"/>
      <c r="E132" s="15"/>
      <c r="F132" s="14"/>
      <c r="G132" s="16"/>
      <c r="H132" s="14"/>
      <c r="I132" s="14"/>
      <c r="J132" s="14"/>
      <c r="K132" s="17"/>
      <c r="L132" s="18" t="str">
        <f aca="false">IF(OR(G132="",K132=""),"",G132*K132)</f>
        <v/>
      </c>
      <c r="M132" s="14"/>
      <c r="N132" s="15"/>
      <c r="O132" s="14"/>
      <c r="P132" s="19" t="str">
        <f aca="false">IF(C132="","",IF(COUNTIF(Trazabilidad!$A$5:$A$60,C132)&gt;0,"✓","Revisar"))</f>
        <v/>
      </c>
      <c r="Q132" s="15"/>
    </row>
    <row r="133" customFormat="false" ht="15" hidden="false" customHeight="false" outlineLevel="0" collapsed="false">
      <c r="A133" s="14"/>
      <c r="B133" s="14"/>
      <c r="C133" s="15"/>
      <c r="D133" s="14"/>
      <c r="E133" s="15"/>
      <c r="F133" s="14"/>
      <c r="G133" s="16"/>
      <c r="H133" s="14"/>
      <c r="I133" s="14"/>
      <c r="J133" s="14"/>
      <c r="K133" s="17"/>
      <c r="L133" s="18" t="str">
        <f aca="false">IF(OR(G133="",K133=""),"",G133*K133)</f>
        <v/>
      </c>
      <c r="M133" s="14"/>
      <c r="N133" s="15"/>
      <c r="O133" s="14"/>
      <c r="P133" s="19" t="str">
        <f aca="false">IF(C133="","",IF(COUNTIF(Trazabilidad!$A$5:$A$60,C133)&gt;0,"✓","Revisar"))</f>
        <v/>
      </c>
      <c r="Q133" s="15"/>
    </row>
    <row r="134" customFormat="false" ht="15" hidden="false" customHeight="false" outlineLevel="0" collapsed="false">
      <c r="A134" s="14"/>
      <c r="B134" s="14"/>
      <c r="C134" s="15"/>
      <c r="D134" s="14"/>
      <c r="E134" s="15"/>
      <c r="F134" s="14"/>
      <c r="G134" s="16"/>
      <c r="H134" s="14"/>
      <c r="I134" s="14"/>
      <c r="J134" s="14"/>
      <c r="K134" s="17"/>
      <c r="L134" s="18" t="str">
        <f aca="false">IF(OR(G134="",K134=""),"",G134*K134)</f>
        <v/>
      </c>
      <c r="M134" s="14"/>
      <c r="N134" s="15"/>
      <c r="O134" s="14"/>
      <c r="P134" s="19" t="str">
        <f aca="false">IF(C134="","",IF(COUNTIF(Trazabilidad!$A$5:$A$60,C134)&gt;0,"✓","Revisar"))</f>
        <v/>
      </c>
      <c r="Q134" s="15"/>
    </row>
    <row r="135" customFormat="false" ht="15" hidden="false" customHeight="false" outlineLevel="0" collapsed="false">
      <c r="A135" s="14"/>
      <c r="B135" s="14"/>
      <c r="C135" s="15"/>
      <c r="D135" s="14"/>
      <c r="E135" s="15"/>
      <c r="F135" s="14"/>
      <c r="G135" s="16"/>
      <c r="H135" s="14"/>
      <c r="I135" s="14"/>
      <c r="J135" s="14"/>
      <c r="K135" s="17"/>
      <c r="L135" s="18" t="str">
        <f aca="false">IF(OR(G135="",K135=""),"",G135*K135)</f>
        <v/>
      </c>
      <c r="M135" s="14"/>
      <c r="N135" s="15"/>
      <c r="O135" s="14"/>
      <c r="P135" s="19" t="str">
        <f aca="false">IF(C135="","",IF(COUNTIF(Trazabilidad!$A$5:$A$60,C135)&gt;0,"✓","Revisar"))</f>
        <v/>
      </c>
      <c r="Q135" s="15"/>
    </row>
    <row r="136" customFormat="false" ht="15" hidden="false" customHeight="false" outlineLevel="0" collapsed="false">
      <c r="A136" s="14"/>
      <c r="B136" s="14"/>
      <c r="C136" s="15"/>
      <c r="D136" s="14"/>
      <c r="E136" s="15"/>
      <c r="F136" s="14"/>
      <c r="G136" s="16"/>
      <c r="H136" s="14"/>
      <c r="I136" s="14"/>
      <c r="J136" s="14"/>
      <c r="K136" s="17"/>
      <c r="L136" s="18" t="str">
        <f aca="false">IF(OR(G136="",K136=""),"",G136*K136)</f>
        <v/>
      </c>
      <c r="M136" s="14"/>
      <c r="N136" s="15"/>
      <c r="O136" s="14"/>
      <c r="P136" s="19" t="str">
        <f aca="false">IF(C136="","",IF(COUNTIF(Trazabilidad!$A$5:$A$60,C136)&gt;0,"✓","Revisar"))</f>
        <v/>
      </c>
      <c r="Q136" s="15"/>
    </row>
    <row r="137" customFormat="false" ht="15" hidden="false" customHeight="false" outlineLevel="0" collapsed="false">
      <c r="A137" s="14"/>
      <c r="B137" s="14"/>
      <c r="C137" s="15"/>
      <c r="D137" s="14"/>
      <c r="E137" s="15"/>
      <c r="F137" s="14"/>
      <c r="G137" s="16"/>
      <c r="H137" s="14"/>
      <c r="I137" s="14"/>
      <c r="J137" s="14"/>
      <c r="K137" s="17"/>
      <c r="L137" s="18" t="str">
        <f aca="false">IF(OR(G137="",K137=""),"",G137*K137)</f>
        <v/>
      </c>
      <c r="M137" s="14"/>
      <c r="N137" s="15"/>
      <c r="O137" s="14"/>
      <c r="P137" s="19" t="str">
        <f aca="false">IF(C137="","",IF(COUNTIF(Trazabilidad!$A$5:$A$60,C137)&gt;0,"✓","Revisar"))</f>
        <v/>
      </c>
      <c r="Q137" s="15"/>
    </row>
    <row r="138" customFormat="false" ht="15" hidden="false" customHeight="false" outlineLevel="0" collapsed="false">
      <c r="A138" s="14"/>
      <c r="B138" s="14"/>
      <c r="C138" s="15"/>
      <c r="D138" s="14"/>
      <c r="E138" s="15"/>
      <c r="F138" s="14"/>
      <c r="G138" s="16"/>
      <c r="H138" s="14"/>
      <c r="I138" s="14"/>
      <c r="J138" s="14"/>
      <c r="K138" s="17"/>
      <c r="L138" s="18" t="str">
        <f aca="false">IF(OR(G138="",K138=""),"",G138*K138)</f>
        <v/>
      </c>
      <c r="M138" s="14"/>
      <c r="N138" s="15"/>
      <c r="O138" s="14"/>
      <c r="P138" s="19" t="str">
        <f aca="false">IF(C138="","",IF(COUNTIF(Trazabilidad!$A$5:$A$60,C138)&gt;0,"✓","Revisar"))</f>
        <v/>
      </c>
      <c r="Q138" s="15"/>
    </row>
    <row r="139" customFormat="false" ht="15" hidden="false" customHeight="false" outlineLevel="0" collapsed="false">
      <c r="A139" s="14"/>
      <c r="B139" s="14"/>
      <c r="C139" s="15"/>
      <c r="D139" s="14"/>
      <c r="E139" s="15"/>
      <c r="F139" s="14"/>
      <c r="G139" s="16"/>
      <c r="H139" s="14"/>
      <c r="I139" s="14"/>
      <c r="J139" s="14"/>
      <c r="K139" s="17"/>
      <c r="L139" s="18" t="str">
        <f aca="false">IF(OR(G139="",K139=""),"",G139*K139)</f>
        <v/>
      </c>
      <c r="M139" s="14"/>
      <c r="N139" s="15"/>
      <c r="O139" s="14"/>
      <c r="P139" s="19" t="str">
        <f aca="false">IF(C139="","",IF(COUNTIF(Trazabilidad!$A$5:$A$60,C139)&gt;0,"✓","Revisar"))</f>
        <v/>
      </c>
      <c r="Q139" s="15"/>
    </row>
    <row r="140" customFormat="false" ht="15" hidden="false" customHeight="false" outlineLevel="0" collapsed="false">
      <c r="A140" s="14"/>
      <c r="B140" s="14"/>
      <c r="C140" s="15"/>
      <c r="D140" s="14"/>
      <c r="E140" s="15"/>
      <c r="F140" s="14"/>
      <c r="G140" s="16"/>
      <c r="H140" s="14"/>
      <c r="I140" s="14"/>
      <c r="J140" s="14"/>
      <c r="K140" s="17"/>
      <c r="L140" s="18" t="str">
        <f aca="false">IF(OR(G140="",K140=""),"",G140*K140)</f>
        <v/>
      </c>
      <c r="M140" s="14"/>
      <c r="N140" s="15"/>
      <c r="O140" s="14"/>
      <c r="P140" s="19" t="str">
        <f aca="false">IF(C140="","",IF(COUNTIF(Trazabilidad!$A$5:$A$60,C140)&gt;0,"✓","Revisar"))</f>
        <v/>
      </c>
      <c r="Q140" s="15"/>
    </row>
    <row r="141" customFormat="false" ht="15" hidden="false" customHeight="false" outlineLevel="0" collapsed="false">
      <c r="A141" s="14"/>
      <c r="B141" s="14"/>
      <c r="C141" s="15"/>
      <c r="D141" s="14"/>
      <c r="E141" s="15"/>
      <c r="F141" s="14"/>
      <c r="G141" s="16"/>
      <c r="H141" s="14"/>
      <c r="I141" s="14"/>
      <c r="J141" s="14"/>
      <c r="K141" s="17"/>
      <c r="L141" s="18" t="str">
        <f aca="false">IF(OR(G141="",K141=""),"",G141*K141)</f>
        <v/>
      </c>
      <c r="M141" s="14"/>
      <c r="N141" s="15"/>
      <c r="O141" s="14"/>
      <c r="P141" s="19" t="str">
        <f aca="false">IF(C141="","",IF(COUNTIF(Trazabilidad!$A$5:$A$60,C141)&gt;0,"✓","Revisar"))</f>
        <v/>
      </c>
      <c r="Q141" s="15"/>
    </row>
    <row r="142" customFormat="false" ht="15" hidden="false" customHeight="false" outlineLevel="0" collapsed="false">
      <c r="A142" s="14"/>
      <c r="B142" s="14"/>
      <c r="C142" s="15"/>
      <c r="D142" s="14"/>
      <c r="E142" s="15"/>
      <c r="F142" s="14"/>
      <c r="G142" s="16"/>
      <c r="H142" s="14"/>
      <c r="I142" s="14"/>
      <c r="J142" s="14"/>
      <c r="K142" s="17"/>
      <c r="L142" s="18" t="str">
        <f aca="false">IF(OR(G142="",K142=""),"",G142*K142)</f>
        <v/>
      </c>
      <c r="M142" s="14"/>
      <c r="N142" s="15"/>
      <c r="O142" s="14"/>
      <c r="P142" s="19" t="str">
        <f aca="false">IF(C142="","",IF(COUNTIF(Trazabilidad!$A$5:$A$60,C142)&gt;0,"✓","Revisar"))</f>
        <v/>
      </c>
      <c r="Q142" s="15"/>
    </row>
    <row r="143" customFormat="false" ht="15" hidden="false" customHeight="false" outlineLevel="0" collapsed="false">
      <c r="A143" s="14"/>
      <c r="B143" s="14"/>
      <c r="C143" s="15"/>
      <c r="D143" s="14"/>
      <c r="E143" s="15"/>
      <c r="F143" s="14"/>
      <c r="G143" s="16"/>
      <c r="H143" s="14"/>
      <c r="I143" s="14"/>
      <c r="J143" s="14"/>
      <c r="K143" s="17"/>
      <c r="L143" s="18" t="str">
        <f aca="false">IF(OR(G143="",K143=""),"",G143*K143)</f>
        <v/>
      </c>
      <c r="M143" s="14"/>
      <c r="N143" s="15"/>
      <c r="O143" s="14"/>
      <c r="P143" s="19" t="str">
        <f aca="false">IF(C143="","",IF(COUNTIF(Trazabilidad!$A$5:$A$60,C143)&gt;0,"✓","Revisar"))</f>
        <v/>
      </c>
      <c r="Q143" s="15"/>
    </row>
    <row r="144" customFormat="false" ht="15" hidden="false" customHeight="false" outlineLevel="0" collapsed="false">
      <c r="A144" s="14"/>
      <c r="B144" s="14"/>
      <c r="C144" s="15"/>
      <c r="D144" s="14"/>
      <c r="E144" s="15"/>
      <c r="F144" s="14"/>
      <c r="G144" s="16"/>
      <c r="H144" s="14"/>
      <c r="I144" s="14"/>
      <c r="J144" s="14"/>
      <c r="K144" s="17"/>
      <c r="L144" s="18" t="str">
        <f aca="false">IF(OR(G144="",K144=""),"",G144*K144)</f>
        <v/>
      </c>
      <c r="M144" s="14"/>
      <c r="N144" s="15"/>
      <c r="O144" s="14"/>
      <c r="P144" s="19" t="str">
        <f aca="false">IF(C144="","",IF(COUNTIF(Trazabilidad!$A$5:$A$60,C144)&gt;0,"✓","Revisar"))</f>
        <v/>
      </c>
      <c r="Q144" s="15"/>
    </row>
    <row r="145" customFormat="false" ht="15" hidden="false" customHeight="false" outlineLevel="0" collapsed="false">
      <c r="A145" s="14"/>
      <c r="B145" s="14"/>
      <c r="C145" s="15"/>
      <c r="D145" s="14"/>
      <c r="E145" s="15"/>
      <c r="F145" s="14"/>
      <c r="G145" s="16"/>
      <c r="H145" s="14"/>
      <c r="I145" s="14"/>
      <c r="J145" s="14"/>
      <c r="K145" s="17"/>
      <c r="L145" s="18" t="str">
        <f aca="false">IF(OR(G145="",K145=""),"",G145*K145)</f>
        <v/>
      </c>
      <c r="M145" s="14"/>
      <c r="N145" s="15"/>
      <c r="O145" s="14"/>
      <c r="P145" s="19" t="str">
        <f aca="false">IF(C145="","",IF(COUNTIF(Trazabilidad!$A$5:$A$60,C145)&gt;0,"✓","Revisar"))</f>
        <v/>
      </c>
      <c r="Q145" s="15"/>
    </row>
    <row r="146" customFormat="false" ht="15" hidden="false" customHeight="false" outlineLevel="0" collapsed="false">
      <c r="A146" s="14"/>
      <c r="B146" s="14"/>
      <c r="C146" s="15"/>
      <c r="D146" s="14"/>
      <c r="E146" s="15"/>
      <c r="F146" s="14"/>
      <c r="G146" s="16"/>
      <c r="H146" s="14"/>
      <c r="I146" s="14"/>
      <c r="J146" s="14"/>
      <c r="K146" s="17"/>
      <c r="L146" s="18" t="str">
        <f aca="false">IF(OR(G146="",K146=""),"",G146*K146)</f>
        <v/>
      </c>
      <c r="M146" s="14"/>
      <c r="N146" s="15"/>
      <c r="O146" s="14"/>
      <c r="P146" s="19" t="str">
        <f aca="false">IF(C146="","",IF(COUNTIF(Trazabilidad!$A$5:$A$60,C146)&gt;0,"✓","Revisar"))</f>
        <v/>
      </c>
      <c r="Q146" s="15"/>
    </row>
    <row r="147" customFormat="false" ht="15" hidden="false" customHeight="false" outlineLevel="0" collapsed="false">
      <c r="A147" s="14"/>
      <c r="B147" s="14"/>
      <c r="C147" s="15"/>
      <c r="D147" s="14"/>
      <c r="E147" s="15"/>
      <c r="F147" s="14"/>
      <c r="G147" s="16"/>
      <c r="H147" s="14"/>
      <c r="I147" s="14"/>
      <c r="J147" s="14"/>
      <c r="K147" s="17"/>
      <c r="L147" s="18" t="str">
        <f aca="false">IF(OR(G147="",K147=""),"",G147*K147)</f>
        <v/>
      </c>
      <c r="M147" s="14"/>
      <c r="N147" s="15"/>
      <c r="O147" s="14"/>
      <c r="P147" s="19" t="str">
        <f aca="false">IF(C147="","",IF(COUNTIF(Trazabilidad!$A$5:$A$60,C147)&gt;0,"✓","Revisar"))</f>
        <v/>
      </c>
      <c r="Q147" s="15"/>
    </row>
    <row r="148" customFormat="false" ht="15" hidden="false" customHeight="false" outlineLevel="0" collapsed="false">
      <c r="A148" s="14"/>
      <c r="B148" s="14"/>
      <c r="C148" s="15"/>
      <c r="D148" s="14"/>
      <c r="E148" s="15"/>
      <c r="F148" s="14"/>
      <c r="G148" s="16"/>
      <c r="H148" s="14"/>
      <c r="I148" s="14"/>
      <c r="J148" s="14"/>
      <c r="K148" s="17"/>
      <c r="L148" s="18" t="str">
        <f aca="false">IF(OR(G148="",K148=""),"",G148*K148)</f>
        <v/>
      </c>
      <c r="M148" s="14"/>
      <c r="N148" s="15"/>
      <c r="O148" s="14"/>
      <c r="P148" s="19" t="str">
        <f aca="false">IF(C148="","",IF(COUNTIF(Trazabilidad!$A$5:$A$60,C148)&gt;0,"✓","Revisar"))</f>
        <v/>
      </c>
      <c r="Q148" s="15"/>
    </row>
    <row r="149" customFormat="false" ht="15" hidden="false" customHeight="false" outlineLevel="0" collapsed="false">
      <c r="A149" s="14"/>
      <c r="B149" s="14"/>
      <c r="C149" s="15"/>
      <c r="D149" s="14"/>
      <c r="E149" s="15"/>
      <c r="F149" s="14"/>
      <c r="G149" s="16"/>
      <c r="H149" s="14"/>
      <c r="I149" s="14"/>
      <c r="J149" s="14"/>
      <c r="K149" s="17"/>
      <c r="L149" s="18" t="str">
        <f aca="false">IF(OR(G149="",K149=""),"",G149*K149)</f>
        <v/>
      </c>
      <c r="M149" s="14"/>
      <c r="N149" s="15"/>
      <c r="O149" s="14"/>
      <c r="P149" s="19" t="str">
        <f aca="false">IF(C149="","",IF(COUNTIF(Trazabilidad!$A$5:$A$60,C149)&gt;0,"✓","Revisar"))</f>
        <v/>
      </c>
      <c r="Q149" s="15"/>
    </row>
    <row r="150" customFormat="false" ht="15" hidden="false" customHeight="false" outlineLevel="0" collapsed="false">
      <c r="A150" s="14"/>
      <c r="B150" s="14"/>
      <c r="C150" s="15"/>
      <c r="D150" s="14"/>
      <c r="E150" s="15"/>
      <c r="F150" s="14"/>
      <c r="G150" s="16"/>
      <c r="H150" s="14"/>
      <c r="I150" s="14"/>
      <c r="J150" s="14"/>
      <c r="K150" s="17"/>
      <c r="L150" s="18" t="str">
        <f aca="false">IF(OR(G150="",K150=""),"",G150*K150)</f>
        <v/>
      </c>
      <c r="M150" s="14"/>
      <c r="N150" s="15"/>
      <c r="O150" s="14"/>
      <c r="P150" s="19" t="str">
        <f aca="false">IF(C150="","",IF(COUNTIF(Trazabilidad!$A$5:$A$60,C150)&gt;0,"✓","Revisar"))</f>
        <v/>
      </c>
      <c r="Q150" s="15"/>
    </row>
    <row r="151" customFormat="false" ht="15" hidden="false" customHeight="false" outlineLevel="0" collapsed="false">
      <c r="A151" s="14"/>
      <c r="B151" s="14"/>
      <c r="C151" s="15"/>
      <c r="D151" s="14"/>
      <c r="E151" s="15"/>
      <c r="F151" s="14"/>
      <c r="G151" s="16"/>
      <c r="H151" s="14"/>
      <c r="I151" s="14"/>
      <c r="J151" s="14"/>
      <c r="K151" s="17"/>
      <c r="L151" s="18" t="str">
        <f aca="false">IF(OR(G151="",K151=""),"",G151*K151)</f>
        <v/>
      </c>
      <c r="M151" s="14"/>
      <c r="N151" s="15"/>
      <c r="O151" s="14"/>
      <c r="P151" s="19" t="str">
        <f aca="false">IF(C151="","",IF(COUNTIF(Trazabilidad!$A$5:$A$60,C151)&gt;0,"✓","Revisar"))</f>
        <v/>
      </c>
      <c r="Q151" s="15"/>
    </row>
    <row r="152" customFormat="false" ht="15" hidden="false" customHeight="false" outlineLevel="0" collapsed="false">
      <c r="A152" s="14"/>
      <c r="B152" s="14"/>
      <c r="C152" s="15"/>
      <c r="D152" s="14"/>
      <c r="E152" s="15"/>
      <c r="F152" s="14"/>
      <c r="G152" s="16"/>
      <c r="H152" s="14"/>
      <c r="I152" s="14"/>
      <c r="J152" s="14"/>
      <c r="K152" s="17"/>
      <c r="L152" s="18" t="str">
        <f aca="false">IF(OR(G152="",K152=""),"",G152*K152)</f>
        <v/>
      </c>
      <c r="M152" s="14"/>
      <c r="N152" s="15"/>
      <c r="O152" s="14"/>
      <c r="P152" s="19" t="str">
        <f aca="false">IF(C152="","",IF(COUNTIF(Trazabilidad!$A$5:$A$60,C152)&gt;0,"✓","Revisar"))</f>
        <v/>
      </c>
      <c r="Q152" s="15"/>
    </row>
    <row r="153" customFormat="false" ht="15" hidden="false" customHeight="false" outlineLevel="0" collapsed="false">
      <c r="A153" s="14"/>
      <c r="B153" s="14"/>
      <c r="C153" s="15"/>
      <c r="D153" s="14"/>
      <c r="E153" s="15"/>
      <c r="F153" s="14"/>
      <c r="G153" s="16"/>
      <c r="H153" s="14"/>
      <c r="I153" s="14"/>
      <c r="J153" s="14"/>
      <c r="K153" s="17"/>
      <c r="L153" s="18" t="str">
        <f aca="false">IF(OR(G153="",K153=""),"",G153*K153)</f>
        <v/>
      </c>
      <c r="M153" s="14"/>
      <c r="N153" s="15"/>
      <c r="O153" s="14"/>
      <c r="P153" s="19" t="str">
        <f aca="false">IF(C153="","",IF(COUNTIF(Trazabilidad!$A$5:$A$60,C153)&gt;0,"✓","Revisar"))</f>
        <v/>
      </c>
      <c r="Q153" s="15"/>
    </row>
    <row r="154" customFormat="false" ht="15" hidden="false" customHeight="false" outlineLevel="0" collapsed="false">
      <c r="A154" s="14"/>
      <c r="B154" s="14"/>
      <c r="C154" s="15"/>
      <c r="D154" s="14"/>
      <c r="E154" s="15"/>
      <c r="F154" s="14"/>
      <c r="G154" s="16"/>
      <c r="H154" s="14"/>
      <c r="I154" s="14"/>
      <c r="J154" s="14"/>
      <c r="K154" s="17"/>
      <c r="L154" s="18" t="str">
        <f aca="false">IF(OR(G154="",K154=""),"",G154*K154)</f>
        <v/>
      </c>
      <c r="M154" s="14"/>
      <c r="N154" s="15"/>
      <c r="O154" s="14"/>
      <c r="P154" s="19" t="str">
        <f aca="false">IF(C154="","",IF(COUNTIF(Trazabilidad!$A$5:$A$60,C154)&gt;0,"✓","Revisar"))</f>
        <v/>
      </c>
      <c r="Q154" s="15"/>
    </row>
    <row r="155" customFormat="false" ht="15" hidden="false" customHeight="false" outlineLevel="0" collapsed="false">
      <c r="A155" s="14"/>
      <c r="B155" s="14"/>
      <c r="C155" s="15"/>
      <c r="D155" s="14"/>
      <c r="E155" s="15"/>
      <c r="F155" s="14"/>
      <c r="G155" s="16"/>
      <c r="H155" s="14"/>
      <c r="I155" s="14"/>
      <c r="J155" s="14"/>
      <c r="K155" s="17"/>
      <c r="L155" s="18" t="str">
        <f aca="false">IF(OR(G155="",K155=""),"",G155*K155)</f>
        <v/>
      </c>
      <c r="M155" s="14"/>
      <c r="N155" s="15"/>
      <c r="O155" s="14"/>
      <c r="P155" s="19" t="str">
        <f aca="false">IF(C155="","",IF(COUNTIF(Trazabilidad!$A$5:$A$60,C155)&gt;0,"✓","Revisar"))</f>
        <v/>
      </c>
      <c r="Q155" s="15"/>
    </row>
    <row r="156" customFormat="false" ht="15" hidden="false" customHeight="false" outlineLevel="0" collapsed="false">
      <c r="A156" s="14"/>
      <c r="B156" s="14"/>
      <c r="C156" s="15"/>
      <c r="D156" s="14"/>
      <c r="E156" s="15"/>
      <c r="F156" s="14"/>
      <c r="G156" s="16"/>
      <c r="H156" s="14"/>
      <c r="I156" s="14"/>
      <c r="J156" s="14"/>
      <c r="K156" s="17"/>
      <c r="L156" s="18" t="str">
        <f aca="false">IF(OR(G156="",K156=""),"",G156*K156)</f>
        <v/>
      </c>
      <c r="M156" s="14"/>
      <c r="N156" s="15"/>
      <c r="O156" s="14"/>
      <c r="P156" s="19" t="str">
        <f aca="false">IF(C156="","",IF(COUNTIF(Trazabilidad!$A$5:$A$60,C156)&gt;0,"✓","Revisar"))</f>
        <v/>
      </c>
      <c r="Q156" s="15"/>
    </row>
    <row r="157" customFormat="false" ht="15" hidden="false" customHeight="false" outlineLevel="0" collapsed="false">
      <c r="A157" s="14"/>
      <c r="B157" s="14"/>
      <c r="C157" s="15"/>
      <c r="D157" s="14"/>
      <c r="E157" s="15"/>
      <c r="F157" s="14"/>
      <c r="G157" s="16"/>
      <c r="H157" s="14"/>
      <c r="I157" s="14"/>
      <c r="J157" s="14"/>
      <c r="K157" s="17"/>
      <c r="L157" s="18" t="str">
        <f aca="false">IF(OR(G157="",K157=""),"",G157*K157)</f>
        <v/>
      </c>
      <c r="M157" s="14"/>
      <c r="N157" s="15"/>
      <c r="O157" s="14"/>
      <c r="P157" s="19" t="str">
        <f aca="false">IF(C157="","",IF(COUNTIF(Trazabilidad!$A$5:$A$60,C157)&gt;0,"✓","Revisar"))</f>
        <v/>
      </c>
      <c r="Q157" s="15"/>
    </row>
    <row r="158" customFormat="false" ht="15" hidden="false" customHeight="false" outlineLevel="0" collapsed="false">
      <c r="A158" s="14"/>
      <c r="B158" s="14"/>
      <c r="C158" s="15"/>
      <c r="D158" s="14"/>
      <c r="E158" s="15"/>
      <c r="F158" s="14"/>
      <c r="G158" s="16"/>
      <c r="H158" s="14"/>
      <c r="I158" s="14"/>
      <c r="J158" s="14"/>
      <c r="K158" s="17"/>
      <c r="L158" s="18" t="str">
        <f aca="false">IF(OR(G158="",K158=""),"",G158*K158)</f>
        <v/>
      </c>
      <c r="M158" s="14"/>
      <c r="N158" s="15"/>
      <c r="O158" s="14"/>
      <c r="P158" s="19" t="str">
        <f aca="false">IF(C158="","",IF(COUNTIF(Trazabilidad!$A$5:$A$60,C158)&gt;0,"✓","Revisar"))</f>
        <v/>
      </c>
      <c r="Q158" s="15"/>
    </row>
    <row r="159" customFormat="false" ht="15" hidden="false" customHeight="false" outlineLevel="0" collapsed="false">
      <c r="A159" s="14"/>
      <c r="B159" s="14"/>
      <c r="C159" s="15"/>
      <c r="D159" s="14"/>
      <c r="E159" s="15"/>
      <c r="F159" s="14"/>
      <c r="G159" s="16"/>
      <c r="H159" s="14"/>
      <c r="I159" s="14"/>
      <c r="J159" s="14"/>
      <c r="K159" s="17"/>
      <c r="L159" s="18" t="str">
        <f aca="false">IF(OR(G159="",K159=""),"",G159*K159)</f>
        <v/>
      </c>
      <c r="M159" s="14"/>
      <c r="N159" s="15"/>
      <c r="O159" s="14"/>
      <c r="P159" s="19" t="str">
        <f aca="false">IF(C159="","",IF(COUNTIF(Trazabilidad!$A$5:$A$60,C159)&gt;0,"✓","Revisar"))</f>
        <v/>
      </c>
      <c r="Q159" s="15"/>
    </row>
    <row r="160" customFormat="false" ht="15" hidden="false" customHeight="false" outlineLevel="0" collapsed="false">
      <c r="A160" s="14"/>
      <c r="B160" s="14"/>
      <c r="C160" s="15"/>
      <c r="D160" s="14"/>
      <c r="E160" s="15"/>
      <c r="F160" s="14"/>
      <c r="G160" s="16"/>
      <c r="H160" s="14"/>
      <c r="I160" s="14"/>
      <c r="J160" s="14"/>
      <c r="K160" s="17"/>
      <c r="L160" s="18" t="str">
        <f aca="false">IF(OR(G160="",K160=""),"",G160*K160)</f>
        <v/>
      </c>
      <c r="M160" s="14"/>
      <c r="N160" s="15"/>
      <c r="O160" s="14"/>
      <c r="P160" s="19" t="str">
        <f aca="false">IF(C160="","",IF(COUNTIF(Trazabilidad!$A$5:$A$60,C160)&gt;0,"✓","Revisar"))</f>
        <v/>
      </c>
      <c r="Q160" s="15"/>
    </row>
    <row r="161" customFormat="false" ht="15" hidden="false" customHeight="false" outlineLevel="0" collapsed="false">
      <c r="A161" s="14"/>
      <c r="B161" s="14"/>
      <c r="C161" s="15"/>
      <c r="D161" s="14"/>
      <c r="E161" s="15"/>
      <c r="F161" s="14"/>
      <c r="G161" s="16"/>
      <c r="H161" s="14"/>
      <c r="I161" s="14"/>
      <c r="J161" s="14"/>
      <c r="K161" s="17"/>
      <c r="L161" s="18" t="str">
        <f aca="false">IF(OR(G161="",K161=""),"",G161*K161)</f>
        <v/>
      </c>
      <c r="M161" s="14"/>
      <c r="N161" s="15"/>
      <c r="O161" s="14"/>
      <c r="P161" s="19" t="str">
        <f aca="false">IF(C161="","",IF(COUNTIF(Trazabilidad!$A$5:$A$60,C161)&gt;0,"✓","Revisar"))</f>
        <v/>
      </c>
      <c r="Q161" s="15"/>
    </row>
    <row r="162" customFormat="false" ht="15" hidden="false" customHeight="false" outlineLevel="0" collapsed="false">
      <c r="A162" s="14"/>
      <c r="B162" s="14"/>
      <c r="C162" s="15"/>
      <c r="D162" s="14"/>
      <c r="E162" s="15"/>
      <c r="F162" s="14"/>
      <c r="G162" s="16"/>
      <c r="H162" s="14"/>
      <c r="I162" s="14"/>
      <c r="J162" s="14"/>
      <c r="K162" s="17"/>
      <c r="L162" s="18" t="str">
        <f aca="false">IF(OR(G162="",K162=""),"",G162*K162)</f>
        <v/>
      </c>
      <c r="M162" s="14"/>
      <c r="N162" s="15"/>
      <c r="O162" s="14"/>
      <c r="P162" s="19" t="str">
        <f aca="false">IF(C162="","",IF(COUNTIF(Trazabilidad!$A$5:$A$60,C162)&gt;0,"✓","Revisar"))</f>
        <v/>
      </c>
      <c r="Q162" s="15"/>
    </row>
    <row r="163" customFormat="false" ht="15" hidden="false" customHeight="false" outlineLevel="0" collapsed="false">
      <c r="A163" s="14"/>
      <c r="B163" s="14"/>
      <c r="C163" s="15"/>
      <c r="D163" s="14"/>
      <c r="E163" s="15"/>
      <c r="F163" s="14"/>
      <c r="G163" s="16"/>
      <c r="H163" s="14"/>
      <c r="I163" s="14"/>
      <c r="J163" s="14"/>
      <c r="K163" s="17"/>
      <c r="L163" s="18" t="str">
        <f aca="false">IF(OR(G163="",K163=""),"",G163*K163)</f>
        <v/>
      </c>
      <c r="M163" s="14"/>
      <c r="N163" s="15"/>
      <c r="O163" s="14"/>
      <c r="P163" s="19" t="str">
        <f aca="false">IF(C163="","",IF(COUNTIF(Trazabilidad!$A$5:$A$60,C163)&gt;0,"✓","Revisar"))</f>
        <v/>
      </c>
      <c r="Q163" s="15"/>
    </row>
    <row r="164" customFormat="false" ht="15" hidden="false" customHeight="false" outlineLevel="0" collapsed="false">
      <c r="A164" s="14"/>
      <c r="B164" s="14"/>
      <c r="C164" s="15"/>
      <c r="D164" s="14"/>
      <c r="E164" s="15"/>
      <c r="F164" s="14"/>
      <c r="G164" s="16"/>
      <c r="H164" s="14"/>
      <c r="I164" s="14"/>
      <c r="J164" s="14"/>
      <c r="K164" s="17"/>
      <c r="L164" s="18" t="str">
        <f aca="false">IF(OR(G164="",K164=""),"",G164*K164)</f>
        <v/>
      </c>
      <c r="M164" s="14"/>
      <c r="N164" s="15"/>
      <c r="O164" s="14"/>
      <c r="P164" s="19" t="str">
        <f aca="false">IF(C164="","",IF(COUNTIF(Trazabilidad!$A$5:$A$60,C164)&gt;0,"✓","Revisar"))</f>
        <v/>
      </c>
      <c r="Q164" s="15"/>
    </row>
    <row r="165" customFormat="false" ht="15" hidden="false" customHeight="false" outlineLevel="0" collapsed="false">
      <c r="A165" s="14"/>
      <c r="B165" s="14"/>
      <c r="C165" s="15"/>
      <c r="D165" s="14"/>
      <c r="E165" s="15"/>
      <c r="F165" s="14"/>
      <c r="G165" s="16"/>
      <c r="H165" s="14"/>
      <c r="I165" s="14"/>
      <c r="J165" s="14"/>
      <c r="K165" s="17"/>
      <c r="L165" s="18" t="str">
        <f aca="false">IF(OR(G165="",K165=""),"",G165*K165)</f>
        <v/>
      </c>
      <c r="M165" s="14"/>
      <c r="N165" s="15"/>
      <c r="O165" s="14"/>
      <c r="P165" s="19" t="str">
        <f aca="false">IF(C165="","",IF(COUNTIF(Trazabilidad!$A$5:$A$60,C165)&gt;0,"✓","Revisar"))</f>
        <v/>
      </c>
      <c r="Q165" s="15"/>
    </row>
    <row r="166" customFormat="false" ht="15" hidden="false" customHeight="false" outlineLevel="0" collapsed="false">
      <c r="A166" s="14"/>
      <c r="B166" s="14"/>
      <c r="C166" s="15"/>
      <c r="D166" s="14"/>
      <c r="E166" s="15"/>
      <c r="F166" s="14"/>
      <c r="G166" s="16"/>
      <c r="H166" s="14"/>
      <c r="I166" s="14"/>
      <c r="J166" s="14"/>
      <c r="K166" s="17"/>
      <c r="L166" s="18" t="str">
        <f aca="false">IF(OR(G166="",K166=""),"",G166*K166)</f>
        <v/>
      </c>
      <c r="M166" s="14"/>
      <c r="N166" s="15"/>
      <c r="O166" s="14"/>
      <c r="P166" s="19" t="str">
        <f aca="false">IF(C166="","",IF(COUNTIF(Trazabilidad!$A$5:$A$60,C166)&gt;0,"✓","Revisar"))</f>
        <v/>
      </c>
      <c r="Q166" s="15"/>
    </row>
    <row r="167" customFormat="false" ht="15" hidden="false" customHeight="false" outlineLevel="0" collapsed="false">
      <c r="A167" s="14"/>
      <c r="B167" s="14"/>
      <c r="C167" s="15"/>
      <c r="D167" s="14"/>
      <c r="E167" s="15"/>
      <c r="F167" s="14"/>
      <c r="G167" s="16"/>
      <c r="H167" s="14"/>
      <c r="I167" s="14"/>
      <c r="J167" s="14"/>
      <c r="K167" s="17"/>
      <c r="L167" s="18" t="str">
        <f aca="false">IF(OR(G167="",K167=""),"",G167*K167)</f>
        <v/>
      </c>
      <c r="M167" s="14"/>
      <c r="N167" s="15"/>
      <c r="O167" s="14"/>
      <c r="P167" s="19" t="str">
        <f aca="false">IF(C167="","",IF(COUNTIF(Trazabilidad!$A$5:$A$60,C167)&gt;0,"✓","Revisar"))</f>
        <v/>
      </c>
      <c r="Q167" s="15"/>
    </row>
    <row r="168" customFormat="false" ht="15" hidden="false" customHeight="false" outlineLevel="0" collapsed="false">
      <c r="A168" s="14"/>
      <c r="B168" s="14"/>
      <c r="C168" s="15"/>
      <c r="D168" s="14"/>
      <c r="E168" s="15"/>
      <c r="F168" s="14"/>
      <c r="G168" s="16"/>
      <c r="H168" s="14"/>
      <c r="I168" s="14"/>
      <c r="J168" s="14"/>
      <c r="K168" s="17"/>
      <c r="L168" s="18" t="str">
        <f aca="false">IF(OR(G168="",K168=""),"",G168*K168)</f>
        <v/>
      </c>
      <c r="M168" s="14"/>
      <c r="N168" s="15"/>
      <c r="O168" s="14"/>
      <c r="P168" s="19" t="str">
        <f aca="false">IF(C168="","",IF(COUNTIF(Trazabilidad!$A$5:$A$60,C168)&gt;0,"✓","Revisar"))</f>
        <v/>
      </c>
      <c r="Q168" s="15"/>
    </row>
    <row r="169" customFormat="false" ht="15" hidden="false" customHeight="false" outlineLevel="0" collapsed="false">
      <c r="A169" s="14"/>
      <c r="B169" s="14"/>
      <c r="C169" s="15"/>
      <c r="D169" s="14"/>
      <c r="E169" s="15"/>
      <c r="F169" s="14"/>
      <c r="G169" s="16"/>
      <c r="H169" s="14"/>
      <c r="I169" s="14"/>
      <c r="J169" s="14"/>
      <c r="K169" s="17"/>
      <c r="L169" s="18" t="str">
        <f aca="false">IF(OR(G169="",K169=""),"",G169*K169)</f>
        <v/>
      </c>
      <c r="M169" s="14"/>
      <c r="N169" s="15"/>
      <c r="O169" s="14"/>
      <c r="P169" s="19" t="str">
        <f aca="false">IF(C169="","",IF(COUNTIF(Trazabilidad!$A$5:$A$60,C169)&gt;0,"✓","Revisar"))</f>
        <v/>
      </c>
      <c r="Q169" s="15"/>
    </row>
    <row r="170" customFormat="false" ht="15" hidden="false" customHeight="false" outlineLevel="0" collapsed="false">
      <c r="A170" s="14"/>
      <c r="B170" s="14"/>
      <c r="C170" s="15"/>
      <c r="D170" s="14"/>
      <c r="E170" s="15"/>
      <c r="F170" s="14"/>
      <c r="G170" s="16"/>
      <c r="H170" s="14"/>
      <c r="I170" s="14"/>
      <c r="J170" s="14"/>
      <c r="K170" s="17"/>
      <c r="L170" s="18" t="str">
        <f aca="false">IF(OR(G170="",K170=""),"",G170*K170)</f>
        <v/>
      </c>
      <c r="M170" s="14"/>
      <c r="N170" s="15"/>
      <c r="O170" s="14"/>
      <c r="P170" s="19" t="str">
        <f aca="false">IF(C170="","",IF(COUNTIF(Trazabilidad!$A$5:$A$60,C170)&gt;0,"✓","Revisar"))</f>
        <v/>
      </c>
      <c r="Q170" s="15"/>
    </row>
    <row r="171" customFormat="false" ht="15" hidden="false" customHeight="false" outlineLevel="0" collapsed="false">
      <c r="A171" s="14"/>
      <c r="B171" s="14"/>
      <c r="C171" s="15"/>
      <c r="D171" s="14"/>
      <c r="E171" s="15"/>
      <c r="F171" s="14"/>
      <c r="G171" s="16"/>
      <c r="H171" s="14"/>
      <c r="I171" s="14"/>
      <c r="J171" s="14"/>
      <c r="K171" s="17"/>
      <c r="L171" s="18" t="str">
        <f aca="false">IF(OR(G171="",K171=""),"",G171*K171)</f>
        <v/>
      </c>
      <c r="M171" s="14"/>
      <c r="N171" s="15"/>
      <c r="O171" s="14"/>
      <c r="P171" s="19" t="str">
        <f aca="false">IF(C171="","",IF(COUNTIF(Trazabilidad!$A$5:$A$60,C171)&gt;0,"✓","Revisar"))</f>
        <v/>
      </c>
      <c r="Q171" s="15"/>
    </row>
    <row r="172" customFormat="false" ht="15" hidden="false" customHeight="false" outlineLevel="0" collapsed="false">
      <c r="A172" s="14"/>
      <c r="B172" s="14"/>
      <c r="C172" s="15"/>
      <c r="D172" s="14"/>
      <c r="E172" s="15"/>
      <c r="F172" s="14"/>
      <c r="G172" s="16"/>
      <c r="H172" s="14"/>
      <c r="I172" s="14"/>
      <c r="J172" s="14"/>
      <c r="K172" s="17"/>
      <c r="L172" s="18" t="str">
        <f aca="false">IF(OR(G172="",K172=""),"",G172*K172)</f>
        <v/>
      </c>
      <c r="M172" s="14"/>
      <c r="N172" s="15"/>
      <c r="O172" s="14"/>
      <c r="P172" s="19" t="str">
        <f aca="false">IF(C172="","",IF(COUNTIF(Trazabilidad!$A$5:$A$60,C172)&gt;0,"✓","Revisar"))</f>
        <v/>
      </c>
      <c r="Q172" s="15"/>
    </row>
    <row r="173" customFormat="false" ht="15" hidden="false" customHeight="false" outlineLevel="0" collapsed="false">
      <c r="A173" s="14"/>
      <c r="B173" s="14"/>
      <c r="C173" s="15"/>
      <c r="D173" s="14"/>
      <c r="E173" s="15"/>
      <c r="F173" s="14"/>
      <c r="G173" s="16"/>
      <c r="H173" s="14"/>
      <c r="I173" s="14"/>
      <c r="J173" s="14"/>
      <c r="K173" s="17"/>
      <c r="L173" s="18" t="str">
        <f aca="false">IF(OR(G173="",K173=""),"",G173*K173)</f>
        <v/>
      </c>
      <c r="M173" s="14"/>
      <c r="N173" s="15"/>
      <c r="O173" s="14"/>
      <c r="P173" s="19" t="str">
        <f aca="false">IF(C173="","",IF(COUNTIF(Trazabilidad!$A$5:$A$60,C173)&gt;0,"✓","Revisar"))</f>
        <v/>
      </c>
      <c r="Q173" s="15"/>
    </row>
    <row r="174" customFormat="false" ht="15" hidden="false" customHeight="false" outlineLevel="0" collapsed="false">
      <c r="A174" s="14"/>
      <c r="B174" s="14"/>
      <c r="C174" s="15"/>
      <c r="D174" s="14"/>
      <c r="E174" s="15"/>
      <c r="F174" s="14"/>
      <c r="G174" s="16"/>
      <c r="H174" s="14"/>
      <c r="I174" s="14"/>
      <c r="J174" s="14"/>
      <c r="K174" s="17"/>
      <c r="L174" s="18" t="str">
        <f aca="false">IF(OR(G174="",K174=""),"",G174*K174)</f>
        <v/>
      </c>
      <c r="M174" s="14"/>
      <c r="N174" s="15"/>
      <c r="O174" s="14"/>
      <c r="P174" s="19" t="str">
        <f aca="false">IF(C174="","",IF(COUNTIF(Trazabilidad!$A$5:$A$60,C174)&gt;0,"✓","Revisar"))</f>
        <v/>
      </c>
      <c r="Q174" s="15"/>
    </row>
    <row r="175" customFormat="false" ht="15" hidden="false" customHeight="false" outlineLevel="0" collapsed="false">
      <c r="A175" s="14"/>
      <c r="B175" s="14"/>
      <c r="C175" s="15"/>
      <c r="D175" s="14"/>
      <c r="E175" s="15"/>
      <c r="F175" s="14"/>
      <c r="G175" s="16"/>
      <c r="H175" s="14"/>
      <c r="I175" s="14"/>
      <c r="J175" s="14"/>
      <c r="K175" s="17"/>
      <c r="L175" s="18" t="str">
        <f aca="false">IF(OR(G175="",K175=""),"",G175*K175)</f>
        <v/>
      </c>
      <c r="M175" s="14"/>
      <c r="N175" s="15"/>
      <c r="O175" s="14"/>
      <c r="P175" s="19" t="str">
        <f aca="false">IF(C175="","",IF(COUNTIF(Trazabilidad!$A$5:$A$60,C175)&gt;0,"✓","Revisar"))</f>
        <v/>
      </c>
      <c r="Q175" s="15"/>
    </row>
    <row r="176" customFormat="false" ht="15" hidden="false" customHeight="false" outlineLevel="0" collapsed="false">
      <c r="A176" s="14"/>
      <c r="B176" s="14"/>
      <c r="C176" s="15"/>
      <c r="D176" s="14"/>
      <c r="E176" s="15"/>
      <c r="F176" s="14"/>
      <c r="G176" s="16"/>
      <c r="H176" s="14"/>
      <c r="I176" s="14"/>
      <c r="J176" s="14"/>
      <c r="K176" s="17"/>
      <c r="L176" s="18" t="str">
        <f aca="false">IF(OR(G176="",K176=""),"",G176*K176)</f>
        <v/>
      </c>
      <c r="M176" s="14"/>
      <c r="N176" s="15"/>
      <c r="O176" s="14"/>
      <c r="P176" s="19" t="str">
        <f aca="false">IF(C176="","",IF(COUNTIF(Trazabilidad!$A$5:$A$60,C176)&gt;0,"✓","Revisar"))</f>
        <v/>
      </c>
      <c r="Q176" s="15"/>
    </row>
    <row r="177" customFormat="false" ht="15" hidden="false" customHeight="false" outlineLevel="0" collapsed="false">
      <c r="A177" s="14"/>
      <c r="B177" s="14"/>
      <c r="C177" s="15"/>
      <c r="D177" s="14"/>
      <c r="E177" s="15"/>
      <c r="F177" s="14"/>
      <c r="G177" s="16"/>
      <c r="H177" s="14"/>
      <c r="I177" s="14"/>
      <c r="J177" s="14"/>
      <c r="K177" s="17"/>
      <c r="L177" s="18" t="str">
        <f aca="false">IF(OR(G177="",K177=""),"",G177*K177)</f>
        <v/>
      </c>
      <c r="M177" s="14"/>
      <c r="N177" s="15"/>
      <c r="O177" s="14"/>
      <c r="P177" s="19" t="str">
        <f aca="false">IF(C177="","",IF(COUNTIF(Trazabilidad!$A$5:$A$60,C177)&gt;0,"✓","Revisar"))</f>
        <v/>
      </c>
      <c r="Q177" s="15"/>
    </row>
    <row r="178" customFormat="false" ht="15" hidden="false" customHeight="false" outlineLevel="0" collapsed="false">
      <c r="A178" s="14"/>
      <c r="B178" s="14"/>
      <c r="C178" s="15"/>
      <c r="D178" s="14"/>
      <c r="E178" s="15"/>
      <c r="F178" s="14"/>
      <c r="G178" s="16"/>
      <c r="H178" s="14"/>
      <c r="I178" s="14"/>
      <c r="J178" s="14"/>
      <c r="K178" s="17"/>
      <c r="L178" s="18" t="str">
        <f aca="false">IF(OR(G178="",K178=""),"",G178*K178)</f>
        <v/>
      </c>
      <c r="M178" s="14"/>
      <c r="N178" s="15"/>
      <c r="O178" s="14"/>
      <c r="P178" s="19" t="str">
        <f aca="false">IF(C178="","",IF(COUNTIF(Trazabilidad!$A$5:$A$60,C178)&gt;0,"✓","Revisar"))</f>
        <v/>
      </c>
      <c r="Q178" s="15"/>
    </row>
    <row r="179" customFormat="false" ht="15" hidden="false" customHeight="false" outlineLevel="0" collapsed="false">
      <c r="A179" s="14"/>
      <c r="B179" s="14"/>
      <c r="C179" s="15"/>
      <c r="D179" s="14"/>
      <c r="E179" s="15"/>
      <c r="F179" s="14"/>
      <c r="G179" s="16"/>
      <c r="H179" s="14"/>
      <c r="I179" s="14"/>
      <c r="J179" s="14"/>
      <c r="K179" s="17"/>
      <c r="L179" s="18" t="str">
        <f aca="false">IF(OR(G179="",K179=""),"",G179*K179)</f>
        <v/>
      </c>
      <c r="M179" s="14"/>
      <c r="N179" s="15"/>
      <c r="O179" s="14"/>
      <c r="P179" s="19" t="str">
        <f aca="false">IF(C179="","",IF(COUNTIF(Trazabilidad!$A$5:$A$60,C179)&gt;0,"✓","Revisar"))</f>
        <v/>
      </c>
      <c r="Q179" s="15"/>
    </row>
    <row r="180" customFormat="false" ht="15" hidden="false" customHeight="false" outlineLevel="0" collapsed="false">
      <c r="A180" s="14"/>
      <c r="B180" s="14"/>
      <c r="C180" s="15"/>
      <c r="D180" s="14"/>
      <c r="E180" s="15"/>
      <c r="F180" s="14"/>
      <c r="G180" s="16"/>
      <c r="H180" s="14"/>
      <c r="I180" s="14"/>
      <c r="J180" s="14"/>
      <c r="K180" s="17"/>
      <c r="L180" s="18" t="str">
        <f aca="false">IF(OR(G180="",K180=""),"",G180*K180)</f>
        <v/>
      </c>
      <c r="M180" s="14"/>
      <c r="N180" s="15"/>
      <c r="O180" s="14"/>
      <c r="P180" s="19" t="str">
        <f aca="false">IF(C180="","",IF(COUNTIF(Trazabilidad!$A$5:$A$60,C180)&gt;0,"✓","Revisar"))</f>
        <v/>
      </c>
      <c r="Q180" s="15"/>
    </row>
    <row r="181" customFormat="false" ht="15" hidden="false" customHeight="false" outlineLevel="0" collapsed="false">
      <c r="A181" s="14"/>
      <c r="B181" s="14"/>
      <c r="C181" s="15"/>
      <c r="D181" s="14"/>
      <c r="E181" s="15"/>
      <c r="F181" s="14"/>
      <c r="G181" s="16"/>
      <c r="H181" s="14"/>
      <c r="I181" s="14"/>
      <c r="J181" s="14"/>
      <c r="K181" s="17"/>
      <c r="L181" s="18" t="str">
        <f aca="false">IF(OR(G181="",K181=""),"",G181*K181)</f>
        <v/>
      </c>
      <c r="M181" s="14"/>
      <c r="N181" s="15"/>
      <c r="O181" s="14"/>
      <c r="P181" s="19" t="str">
        <f aca="false">IF(C181="","",IF(COUNTIF(Trazabilidad!$A$5:$A$60,C181)&gt;0,"✓","Revisar"))</f>
        <v/>
      </c>
      <c r="Q181" s="15"/>
    </row>
    <row r="182" customFormat="false" ht="15" hidden="false" customHeight="false" outlineLevel="0" collapsed="false">
      <c r="A182" s="14"/>
      <c r="B182" s="14"/>
      <c r="C182" s="15"/>
      <c r="D182" s="14"/>
      <c r="E182" s="15"/>
      <c r="F182" s="14"/>
      <c r="G182" s="16"/>
      <c r="H182" s="14"/>
      <c r="I182" s="14"/>
      <c r="J182" s="14"/>
      <c r="K182" s="17"/>
      <c r="L182" s="18" t="str">
        <f aca="false">IF(OR(G182="",K182=""),"",G182*K182)</f>
        <v/>
      </c>
      <c r="M182" s="14"/>
      <c r="N182" s="15"/>
      <c r="O182" s="14"/>
      <c r="P182" s="19" t="str">
        <f aca="false">IF(C182="","",IF(COUNTIF(Trazabilidad!$A$5:$A$60,C182)&gt;0,"✓","Revisar"))</f>
        <v/>
      </c>
      <c r="Q182" s="15"/>
    </row>
    <row r="183" customFormat="false" ht="15" hidden="false" customHeight="false" outlineLevel="0" collapsed="false">
      <c r="A183" s="14"/>
      <c r="B183" s="14"/>
      <c r="C183" s="15"/>
      <c r="D183" s="14"/>
      <c r="E183" s="15"/>
      <c r="F183" s="14"/>
      <c r="G183" s="16"/>
      <c r="H183" s="14"/>
      <c r="I183" s="14"/>
      <c r="J183" s="14"/>
      <c r="K183" s="17"/>
      <c r="L183" s="18" t="str">
        <f aca="false">IF(OR(G183="",K183=""),"",G183*K183)</f>
        <v/>
      </c>
      <c r="M183" s="14"/>
      <c r="N183" s="15"/>
      <c r="O183" s="14"/>
      <c r="P183" s="19" t="str">
        <f aca="false">IF(C183="","",IF(COUNTIF(Trazabilidad!$A$5:$A$60,C183)&gt;0,"✓","Revisar"))</f>
        <v/>
      </c>
      <c r="Q183" s="15"/>
    </row>
    <row r="184" customFormat="false" ht="15" hidden="false" customHeight="false" outlineLevel="0" collapsed="false">
      <c r="A184" s="14"/>
      <c r="B184" s="14"/>
      <c r="C184" s="15"/>
      <c r="D184" s="14"/>
      <c r="E184" s="15"/>
      <c r="F184" s="14"/>
      <c r="G184" s="16"/>
      <c r="H184" s="14"/>
      <c r="I184" s="14"/>
      <c r="J184" s="14"/>
      <c r="K184" s="17"/>
      <c r="L184" s="18" t="str">
        <f aca="false">IF(OR(G184="",K184=""),"",G184*K184)</f>
        <v/>
      </c>
      <c r="M184" s="14"/>
      <c r="N184" s="15"/>
      <c r="O184" s="14"/>
      <c r="P184" s="19" t="str">
        <f aca="false">IF(C184="","",IF(COUNTIF(Trazabilidad!$A$5:$A$60,C184)&gt;0,"✓","Revisar"))</f>
        <v/>
      </c>
      <c r="Q184" s="15"/>
    </row>
    <row r="185" customFormat="false" ht="15" hidden="false" customHeight="false" outlineLevel="0" collapsed="false">
      <c r="A185" s="14"/>
      <c r="B185" s="14"/>
      <c r="C185" s="15"/>
      <c r="D185" s="14"/>
      <c r="E185" s="15"/>
      <c r="F185" s="14"/>
      <c r="G185" s="16"/>
      <c r="H185" s="14"/>
      <c r="I185" s="14"/>
      <c r="J185" s="14"/>
      <c r="K185" s="17"/>
      <c r="L185" s="18" t="str">
        <f aca="false">IF(OR(G185="",K185=""),"",G185*K185)</f>
        <v/>
      </c>
      <c r="M185" s="14"/>
      <c r="N185" s="15"/>
      <c r="O185" s="14"/>
      <c r="P185" s="19" t="str">
        <f aca="false">IF(C185="","",IF(COUNTIF(Trazabilidad!$A$5:$A$60,C185)&gt;0,"✓","Revisar"))</f>
        <v/>
      </c>
      <c r="Q185" s="15"/>
    </row>
    <row r="186" customFormat="false" ht="15" hidden="false" customHeight="false" outlineLevel="0" collapsed="false">
      <c r="A186" s="14"/>
      <c r="B186" s="14"/>
      <c r="C186" s="15"/>
      <c r="D186" s="14"/>
      <c r="E186" s="15"/>
      <c r="F186" s="14"/>
      <c r="G186" s="16"/>
      <c r="H186" s="14"/>
      <c r="I186" s="14"/>
      <c r="J186" s="14"/>
      <c r="K186" s="17"/>
      <c r="L186" s="18" t="str">
        <f aca="false">IF(OR(G186="",K186=""),"",G186*K186)</f>
        <v/>
      </c>
      <c r="M186" s="14"/>
      <c r="N186" s="15"/>
      <c r="O186" s="14"/>
      <c r="P186" s="19" t="str">
        <f aca="false">IF(C186="","",IF(COUNTIF(Trazabilidad!$A$5:$A$60,C186)&gt;0,"✓","Revisar"))</f>
        <v/>
      </c>
      <c r="Q186" s="15"/>
    </row>
    <row r="187" customFormat="false" ht="15" hidden="false" customHeight="false" outlineLevel="0" collapsed="false">
      <c r="A187" s="14"/>
      <c r="B187" s="14"/>
      <c r="C187" s="15"/>
      <c r="D187" s="14"/>
      <c r="E187" s="15"/>
      <c r="F187" s="14"/>
      <c r="G187" s="16"/>
      <c r="H187" s="14"/>
      <c r="I187" s="14"/>
      <c r="J187" s="14"/>
      <c r="K187" s="17"/>
      <c r="L187" s="18" t="str">
        <f aca="false">IF(OR(G187="",K187=""),"",G187*K187)</f>
        <v/>
      </c>
      <c r="M187" s="14"/>
      <c r="N187" s="15"/>
      <c r="O187" s="14"/>
      <c r="P187" s="19" t="str">
        <f aca="false">IF(C187="","",IF(COUNTIF(Trazabilidad!$A$5:$A$60,C187)&gt;0,"✓","Revisar"))</f>
        <v/>
      </c>
      <c r="Q187" s="15"/>
    </row>
    <row r="188" customFormat="false" ht="15" hidden="false" customHeight="false" outlineLevel="0" collapsed="false">
      <c r="A188" s="14"/>
      <c r="B188" s="14"/>
      <c r="C188" s="15"/>
      <c r="D188" s="14"/>
      <c r="E188" s="15"/>
      <c r="F188" s="14"/>
      <c r="G188" s="16"/>
      <c r="H188" s="14"/>
      <c r="I188" s="14"/>
      <c r="J188" s="14"/>
      <c r="K188" s="17"/>
      <c r="L188" s="18" t="str">
        <f aca="false">IF(OR(G188="",K188=""),"",G188*K188)</f>
        <v/>
      </c>
      <c r="M188" s="14"/>
      <c r="N188" s="15"/>
      <c r="O188" s="14"/>
      <c r="P188" s="19" t="str">
        <f aca="false">IF(C188="","",IF(COUNTIF(Trazabilidad!$A$5:$A$60,C188)&gt;0,"✓","Revisar"))</f>
        <v/>
      </c>
      <c r="Q188" s="15"/>
    </row>
    <row r="189" customFormat="false" ht="15" hidden="false" customHeight="false" outlineLevel="0" collapsed="false">
      <c r="A189" s="14"/>
      <c r="B189" s="14"/>
      <c r="C189" s="15"/>
      <c r="D189" s="14"/>
      <c r="E189" s="15"/>
      <c r="F189" s="14"/>
      <c r="G189" s="16"/>
      <c r="H189" s="14"/>
      <c r="I189" s="14"/>
      <c r="J189" s="14"/>
      <c r="K189" s="17"/>
      <c r="L189" s="18" t="str">
        <f aca="false">IF(OR(G189="",K189=""),"",G189*K189)</f>
        <v/>
      </c>
      <c r="M189" s="14"/>
      <c r="N189" s="15"/>
      <c r="O189" s="14"/>
      <c r="P189" s="19" t="str">
        <f aca="false">IF(C189="","",IF(COUNTIF(Trazabilidad!$A$5:$A$60,C189)&gt;0,"✓","Revisar"))</f>
        <v/>
      </c>
      <c r="Q189" s="15"/>
    </row>
    <row r="190" customFormat="false" ht="15" hidden="false" customHeight="false" outlineLevel="0" collapsed="false">
      <c r="A190" s="14"/>
      <c r="B190" s="14"/>
      <c r="C190" s="15"/>
      <c r="D190" s="14"/>
      <c r="E190" s="15"/>
      <c r="F190" s="14"/>
      <c r="G190" s="16"/>
      <c r="H190" s="14"/>
      <c r="I190" s="14"/>
      <c r="J190" s="14"/>
      <c r="K190" s="17"/>
      <c r="L190" s="18" t="str">
        <f aca="false">IF(OR(G190="",K190=""),"",G190*K190)</f>
        <v/>
      </c>
      <c r="M190" s="14"/>
      <c r="N190" s="15"/>
      <c r="O190" s="14"/>
      <c r="P190" s="19" t="str">
        <f aca="false">IF(C190="","",IF(COUNTIF(Trazabilidad!$A$5:$A$60,C190)&gt;0,"✓","Revisar"))</f>
        <v/>
      </c>
      <c r="Q190" s="15"/>
    </row>
    <row r="191" customFormat="false" ht="15" hidden="false" customHeight="false" outlineLevel="0" collapsed="false">
      <c r="A191" s="14"/>
      <c r="B191" s="14"/>
      <c r="C191" s="15"/>
      <c r="D191" s="14"/>
      <c r="E191" s="15"/>
      <c r="F191" s="14"/>
      <c r="G191" s="16"/>
      <c r="H191" s="14"/>
      <c r="I191" s="14"/>
      <c r="J191" s="14"/>
      <c r="K191" s="17"/>
      <c r="L191" s="18" t="str">
        <f aca="false">IF(OR(G191="",K191=""),"",G191*K191)</f>
        <v/>
      </c>
      <c r="M191" s="14"/>
      <c r="N191" s="15"/>
      <c r="O191" s="14"/>
      <c r="P191" s="19" t="str">
        <f aca="false">IF(C191="","",IF(COUNTIF(Trazabilidad!$A$5:$A$60,C191)&gt;0,"✓","Revisar"))</f>
        <v/>
      </c>
      <c r="Q191" s="15"/>
    </row>
    <row r="192" customFormat="false" ht="15" hidden="false" customHeight="false" outlineLevel="0" collapsed="false">
      <c r="A192" s="14"/>
      <c r="B192" s="14"/>
      <c r="C192" s="15"/>
      <c r="D192" s="14"/>
      <c r="E192" s="15"/>
      <c r="F192" s="14"/>
      <c r="G192" s="16"/>
      <c r="H192" s="14"/>
      <c r="I192" s="14"/>
      <c r="J192" s="14"/>
      <c r="K192" s="17"/>
      <c r="L192" s="18" t="str">
        <f aca="false">IF(OR(G192="",K192=""),"",G192*K192)</f>
        <v/>
      </c>
      <c r="M192" s="14"/>
      <c r="N192" s="15"/>
      <c r="O192" s="14"/>
      <c r="P192" s="19" t="str">
        <f aca="false">IF(C192="","",IF(COUNTIF(Trazabilidad!$A$5:$A$60,C192)&gt;0,"✓","Revisar"))</f>
        <v/>
      </c>
      <c r="Q192" s="15"/>
    </row>
    <row r="193" customFormat="false" ht="15" hidden="false" customHeight="false" outlineLevel="0" collapsed="false">
      <c r="A193" s="14"/>
      <c r="B193" s="14"/>
      <c r="C193" s="15"/>
      <c r="D193" s="14"/>
      <c r="E193" s="15"/>
      <c r="F193" s="14"/>
      <c r="G193" s="16"/>
      <c r="H193" s="14"/>
      <c r="I193" s="14"/>
      <c r="J193" s="14"/>
      <c r="K193" s="17"/>
      <c r="L193" s="18" t="str">
        <f aca="false">IF(OR(G193="",K193=""),"",G193*K193)</f>
        <v/>
      </c>
      <c r="M193" s="14"/>
      <c r="N193" s="15"/>
      <c r="O193" s="14"/>
      <c r="P193" s="19" t="str">
        <f aca="false">IF(C193="","",IF(COUNTIF(Trazabilidad!$A$5:$A$60,C193)&gt;0,"✓","Revisar"))</f>
        <v/>
      </c>
      <c r="Q193" s="15"/>
    </row>
    <row r="194" customFormat="false" ht="15" hidden="false" customHeight="false" outlineLevel="0" collapsed="false">
      <c r="A194" s="14"/>
      <c r="B194" s="14"/>
      <c r="C194" s="15"/>
      <c r="D194" s="14"/>
      <c r="E194" s="15"/>
      <c r="F194" s="14"/>
      <c r="G194" s="16"/>
      <c r="H194" s="14"/>
      <c r="I194" s="14"/>
      <c r="J194" s="14"/>
      <c r="K194" s="17"/>
      <c r="L194" s="18" t="str">
        <f aca="false">IF(OR(G194="",K194=""),"",G194*K194)</f>
        <v/>
      </c>
      <c r="M194" s="14"/>
      <c r="N194" s="15"/>
      <c r="O194" s="14"/>
      <c r="P194" s="19" t="str">
        <f aca="false">IF(C194="","",IF(COUNTIF(Trazabilidad!$A$5:$A$60,C194)&gt;0,"✓","Revisar"))</f>
        <v/>
      </c>
      <c r="Q194" s="15"/>
    </row>
    <row r="195" customFormat="false" ht="15" hidden="false" customHeight="false" outlineLevel="0" collapsed="false">
      <c r="A195" s="14"/>
      <c r="B195" s="14"/>
      <c r="C195" s="15"/>
      <c r="D195" s="14"/>
      <c r="E195" s="15"/>
      <c r="F195" s="14"/>
      <c r="G195" s="16"/>
      <c r="H195" s="14"/>
      <c r="I195" s="14"/>
      <c r="J195" s="14"/>
      <c r="K195" s="17"/>
      <c r="L195" s="18" t="str">
        <f aca="false">IF(OR(G195="",K195=""),"",G195*K195)</f>
        <v/>
      </c>
      <c r="M195" s="14"/>
      <c r="N195" s="15"/>
      <c r="O195" s="14"/>
      <c r="P195" s="19" t="str">
        <f aca="false">IF(C195="","",IF(COUNTIF(Trazabilidad!$A$5:$A$60,C195)&gt;0,"✓","Revisar"))</f>
        <v/>
      </c>
      <c r="Q195" s="15"/>
    </row>
    <row r="196" customFormat="false" ht="15" hidden="false" customHeight="false" outlineLevel="0" collapsed="false">
      <c r="A196" s="14"/>
      <c r="B196" s="14"/>
      <c r="C196" s="15"/>
      <c r="D196" s="14"/>
      <c r="E196" s="15"/>
      <c r="F196" s="14"/>
      <c r="G196" s="16"/>
      <c r="H196" s="14"/>
      <c r="I196" s="14"/>
      <c r="J196" s="14"/>
      <c r="K196" s="17"/>
      <c r="L196" s="18" t="str">
        <f aca="false">IF(OR(G196="",K196=""),"",G196*K196)</f>
        <v/>
      </c>
      <c r="M196" s="14"/>
      <c r="N196" s="15"/>
      <c r="O196" s="14"/>
      <c r="P196" s="19" t="str">
        <f aca="false">IF(C196="","",IF(COUNTIF(Trazabilidad!$A$5:$A$60,C196)&gt;0,"✓","Revisar"))</f>
        <v/>
      </c>
      <c r="Q196" s="15"/>
    </row>
    <row r="197" customFormat="false" ht="15" hidden="false" customHeight="false" outlineLevel="0" collapsed="false">
      <c r="A197" s="14"/>
      <c r="B197" s="14"/>
      <c r="C197" s="15"/>
      <c r="D197" s="14"/>
      <c r="E197" s="15"/>
      <c r="F197" s="14"/>
      <c r="G197" s="16"/>
      <c r="H197" s="14"/>
      <c r="I197" s="14"/>
      <c r="J197" s="14"/>
      <c r="K197" s="17"/>
      <c r="L197" s="18" t="str">
        <f aca="false">IF(OR(G197="",K197=""),"",G197*K197)</f>
        <v/>
      </c>
      <c r="M197" s="14"/>
      <c r="N197" s="15"/>
      <c r="O197" s="14"/>
      <c r="P197" s="19" t="str">
        <f aca="false">IF(C197="","",IF(COUNTIF(Trazabilidad!$A$5:$A$60,C197)&gt;0,"✓","Revisar"))</f>
        <v/>
      </c>
      <c r="Q197" s="15"/>
    </row>
    <row r="198" customFormat="false" ht="15" hidden="false" customHeight="false" outlineLevel="0" collapsed="false">
      <c r="A198" s="14"/>
      <c r="B198" s="14"/>
      <c r="C198" s="15"/>
      <c r="D198" s="14"/>
      <c r="E198" s="15"/>
      <c r="F198" s="14"/>
      <c r="G198" s="16"/>
      <c r="H198" s="14"/>
      <c r="I198" s="14"/>
      <c r="J198" s="14"/>
      <c r="K198" s="17"/>
      <c r="L198" s="18" t="str">
        <f aca="false">IF(OR(G198="",K198=""),"",G198*K198)</f>
        <v/>
      </c>
      <c r="M198" s="14"/>
      <c r="N198" s="15"/>
      <c r="O198" s="14"/>
      <c r="P198" s="19" t="str">
        <f aca="false">IF(C198="","",IF(COUNTIF(Trazabilidad!$A$5:$A$60,C198)&gt;0,"✓","Revisar"))</f>
        <v/>
      </c>
      <c r="Q198" s="15"/>
    </row>
    <row r="199" customFormat="false" ht="15" hidden="false" customHeight="false" outlineLevel="0" collapsed="false">
      <c r="A199" s="14"/>
      <c r="B199" s="14"/>
      <c r="C199" s="15"/>
      <c r="D199" s="14"/>
      <c r="E199" s="15"/>
      <c r="F199" s="14"/>
      <c r="G199" s="16"/>
      <c r="H199" s="14"/>
      <c r="I199" s="14"/>
      <c r="J199" s="14"/>
      <c r="K199" s="17"/>
      <c r="L199" s="18" t="str">
        <f aca="false">IF(OR(G199="",K199=""),"",G199*K199)</f>
        <v/>
      </c>
      <c r="M199" s="14"/>
      <c r="N199" s="15"/>
      <c r="O199" s="14"/>
      <c r="P199" s="19" t="str">
        <f aca="false">IF(C199="","",IF(COUNTIF(Trazabilidad!$A$5:$A$60,C199)&gt;0,"✓","Revisar"))</f>
        <v/>
      </c>
      <c r="Q199" s="15"/>
    </row>
    <row r="200" customFormat="false" ht="15" hidden="false" customHeight="false" outlineLevel="0" collapsed="false">
      <c r="A200" s="14"/>
      <c r="B200" s="14"/>
      <c r="C200" s="15"/>
      <c r="D200" s="14"/>
      <c r="E200" s="15"/>
      <c r="F200" s="14"/>
      <c r="G200" s="16"/>
      <c r="H200" s="14"/>
      <c r="I200" s="14"/>
      <c r="J200" s="14"/>
      <c r="K200" s="17"/>
      <c r="L200" s="18" t="str">
        <f aca="false">IF(OR(G200="",K200=""),"",G200*K200)</f>
        <v/>
      </c>
      <c r="M200" s="14"/>
      <c r="N200" s="15"/>
      <c r="O200" s="14"/>
      <c r="P200" s="19" t="str">
        <f aca="false">IF(C200="","",IF(COUNTIF(Trazabilidad!$A$5:$A$60,C200)&gt;0,"✓","Revisar"))</f>
        <v/>
      </c>
      <c r="Q200" s="15"/>
    </row>
    <row r="201" customFormat="false" ht="15" hidden="false" customHeight="false" outlineLevel="0" collapsed="false">
      <c r="A201" s="14"/>
      <c r="B201" s="14"/>
      <c r="C201" s="15"/>
      <c r="D201" s="14"/>
      <c r="E201" s="15"/>
      <c r="F201" s="14"/>
      <c r="G201" s="16"/>
      <c r="H201" s="14"/>
      <c r="I201" s="14"/>
      <c r="J201" s="14"/>
      <c r="K201" s="17"/>
      <c r="L201" s="18" t="str">
        <f aca="false">IF(OR(G201="",K201=""),"",G201*K201)</f>
        <v/>
      </c>
      <c r="M201" s="14"/>
      <c r="N201" s="15"/>
      <c r="O201" s="14"/>
      <c r="P201" s="19" t="str">
        <f aca="false">IF(C201="","",IF(COUNTIF(Trazabilidad!$A$5:$A$60,C201)&gt;0,"✓","Revisar"))</f>
        <v/>
      </c>
      <c r="Q201" s="15"/>
    </row>
    <row r="202" customFormat="false" ht="15" hidden="false" customHeight="false" outlineLevel="0" collapsed="false">
      <c r="A202" s="14"/>
      <c r="B202" s="14"/>
      <c r="C202" s="15"/>
      <c r="D202" s="14"/>
      <c r="E202" s="15"/>
      <c r="F202" s="14"/>
      <c r="G202" s="16"/>
      <c r="H202" s="14"/>
      <c r="I202" s="14"/>
      <c r="J202" s="14"/>
      <c r="K202" s="17"/>
      <c r="L202" s="18" t="str">
        <f aca="false">IF(OR(G202="",K202=""),"",G202*K202)</f>
        <v/>
      </c>
      <c r="M202" s="14"/>
      <c r="N202" s="15"/>
      <c r="O202" s="14"/>
      <c r="P202" s="19" t="str">
        <f aca="false">IF(C202="","",IF(COUNTIF(Trazabilidad!$A$5:$A$60,C202)&gt;0,"✓","Revisar"))</f>
        <v/>
      </c>
      <c r="Q202" s="15"/>
    </row>
    <row r="203" customFormat="false" ht="15" hidden="false" customHeight="false" outlineLevel="0" collapsed="false">
      <c r="A203" s="14"/>
      <c r="B203" s="14"/>
      <c r="C203" s="15"/>
      <c r="D203" s="14"/>
      <c r="E203" s="15"/>
      <c r="F203" s="14"/>
      <c r="G203" s="16"/>
      <c r="H203" s="14"/>
      <c r="I203" s="14"/>
      <c r="J203" s="14"/>
      <c r="K203" s="17"/>
      <c r="L203" s="18" t="str">
        <f aca="false">IF(OR(G203="",K203=""),"",G203*K203)</f>
        <v/>
      </c>
      <c r="M203" s="14"/>
      <c r="N203" s="15"/>
      <c r="O203" s="14"/>
      <c r="P203" s="19" t="str">
        <f aca="false">IF(C203="","",IF(COUNTIF(Trazabilidad!$A$5:$A$60,C203)&gt;0,"✓","Revisar"))</f>
        <v/>
      </c>
      <c r="Q203" s="15"/>
    </row>
    <row r="204" customFormat="false" ht="15" hidden="false" customHeight="false" outlineLevel="0" collapsed="false">
      <c r="A204" s="14"/>
      <c r="B204" s="14"/>
      <c r="C204" s="15"/>
      <c r="D204" s="14"/>
      <c r="E204" s="15"/>
      <c r="F204" s="14"/>
      <c r="G204" s="16"/>
      <c r="H204" s="14"/>
      <c r="I204" s="14"/>
      <c r="J204" s="14"/>
      <c r="K204" s="17"/>
      <c r="L204" s="18" t="str">
        <f aca="false">IF(OR(G204="",K204=""),"",G204*K204)</f>
        <v/>
      </c>
      <c r="M204" s="14"/>
      <c r="N204" s="15"/>
      <c r="O204" s="14"/>
      <c r="P204" s="19" t="str">
        <f aca="false">IF(C204="","",IF(COUNTIF(Trazabilidad!$A$5:$A$60,C204)&gt;0,"✓","Revisar"))</f>
        <v/>
      </c>
      <c r="Q204" s="15"/>
    </row>
    <row r="205" customFormat="false" ht="15" hidden="false" customHeight="false" outlineLevel="0" collapsed="false">
      <c r="A205" s="14"/>
      <c r="B205" s="14"/>
      <c r="C205" s="15"/>
      <c r="D205" s="14"/>
      <c r="E205" s="15"/>
      <c r="F205" s="14"/>
      <c r="G205" s="16"/>
      <c r="H205" s="14"/>
      <c r="I205" s="14"/>
      <c r="J205" s="14"/>
      <c r="K205" s="17"/>
      <c r="L205" s="18" t="str">
        <f aca="false">IF(OR(G205="",K205=""),"",G205*K205)</f>
        <v/>
      </c>
      <c r="M205" s="14"/>
      <c r="N205" s="15"/>
      <c r="O205" s="14"/>
      <c r="P205" s="19" t="str">
        <f aca="false">IF(C205="","",IF(COUNTIF(Trazabilidad!$A$5:$A$60,C205)&gt;0,"✓","Revisar"))</f>
        <v/>
      </c>
      <c r="Q205" s="15"/>
    </row>
    <row r="206" customFormat="false" ht="15" hidden="false" customHeight="false" outlineLevel="0" collapsed="false">
      <c r="A206" s="14"/>
      <c r="B206" s="14"/>
      <c r="C206" s="15"/>
      <c r="D206" s="14"/>
      <c r="E206" s="15"/>
      <c r="F206" s="14"/>
      <c r="G206" s="16"/>
      <c r="H206" s="14"/>
      <c r="I206" s="14"/>
      <c r="J206" s="14"/>
      <c r="K206" s="17"/>
      <c r="L206" s="18" t="str">
        <f aca="false">IF(OR(G206="",K206=""),"",G206*K206)</f>
        <v/>
      </c>
      <c r="M206" s="14"/>
      <c r="N206" s="15"/>
      <c r="O206" s="14"/>
      <c r="P206" s="19" t="str">
        <f aca="false">IF(C206="","",IF(COUNTIF(Trazabilidad!$A$5:$A$60,C206)&gt;0,"✓","Revisar"))</f>
        <v/>
      </c>
      <c r="Q206" s="15"/>
    </row>
    <row r="207" customFormat="false" ht="15" hidden="false" customHeight="false" outlineLevel="0" collapsed="false">
      <c r="A207" s="14"/>
      <c r="B207" s="14"/>
      <c r="C207" s="15"/>
      <c r="D207" s="14"/>
      <c r="E207" s="15"/>
      <c r="F207" s="14"/>
      <c r="G207" s="16"/>
      <c r="H207" s="14"/>
      <c r="I207" s="14"/>
      <c r="J207" s="14"/>
      <c r="K207" s="17"/>
      <c r="L207" s="18" t="str">
        <f aca="false">IF(OR(G207="",K207=""),"",G207*K207)</f>
        <v/>
      </c>
      <c r="M207" s="14"/>
      <c r="N207" s="15"/>
      <c r="O207" s="14"/>
      <c r="P207" s="19" t="str">
        <f aca="false">IF(C207="","",IF(COUNTIF(Trazabilidad!$A$5:$A$60,C207)&gt;0,"✓","Revisar"))</f>
        <v/>
      </c>
      <c r="Q207" s="15"/>
    </row>
    <row r="208" customFormat="false" ht="15" hidden="false" customHeight="false" outlineLevel="0" collapsed="false">
      <c r="A208" s="14"/>
      <c r="B208" s="14"/>
      <c r="C208" s="15"/>
      <c r="D208" s="14"/>
      <c r="E208" s="15"/>
      <c r="F208" s="14"/>
      <c r="G208" s="16"/>
      <c r="H208" s="14"/>
      <c r="I208" s="14"/>
      <c r="J208" s="14"/>
      <c r="K208" s="17"/>
      <c r="L208" s="18" t="str">
        <f aca="false">IF(OR(G208="",K208=""),"",G208*K208)</f>
        <v/>
      </c>
      <c r="M208" s="14"/>
      <c r="N208" s="15"/>
      <c r="O208" s="14"/>
      <c r="P208" s="19" t="str">
        <f aca="false">IF(C208="","",IF(COUNTIF(Trazabilidad!$A$5:$A$60,C208)&gt;0,"✓","Revisar"))</f>
        <v/>
      </c>
      <c r="Q208" s="15"/>
    </row>
  </sheetData>
  <autoFilter ref="A8:Q208"/>
  <conditionalFormatting sqref="P9:P208">
    <cfRule type="cellIs" priority="2" operator="equal" aboveAverage="0" equalAverage="0" bottom="0" percent="0" rank="0" text="" dxfId="6">
      <formula>"Revisar"</formula>
    </cfRule>
  </conditionalFormatting>
  <conditionalFormatting sqref="K9:K208">
    <cfRule type="expression" priority="3" aboveAverage="0" equalAverage="0" bottom="0" percent="0" rank="0" text="" dxfId="7">
      <formula>AND($D9&lt;&gt;"",$K9="")</formula>
    </cfRule>
  </conditionalFormatting>
  <dataValidations count="4">
    <dataValidation allowBlank="true" errorStyle="stop" operator="between" showDropDown="false" showErrorMessage="false" showInputMessage="false" sqref="B9:B208" type="list">
      <formula1>Listas!$A$2:$A$7</formula1>
      <formula2>0</formula2>
    </dataValidation>
    <dataValidation allowBlank="true" errorStyle="stop" operator="between" showDropDown="false" showErrorMessage="false" showInputMessage="false" sqref="H9:H208" type="list">
      <formula1>Listas!$B$2:$B$10</formula1>
      <formula2>0</formula2>
    </dataValidation>
    <dataValidation allowBlank="true" errorStyle="stop" operator="between" showDropDown="false" showErrorMessage="false" showInputMessage="false" sqref="M9:M208" type="list">
      <formula1>Listas!$C$2:$C$5</formula1>
      <formula2>0</formula2>
    </dataValidation>
    <dataValidation allowBlank="true" errorStyle="stop" operator="between" showDropDown="false" showErrorMessage="false" showInputMessage="false" sqref="O9:O208" type="list">
      <formula1>Listas!$D$2:$D$7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26.85" hidden="false" customHeight="false" outlineLevel="0" collapsed="false">
      <c r="A4" s="13" t="s">
        <v>123</v>
      </c>
      <c r="B4" s="13" t="s">
        <v>124</v>
      </c>
      <c r="C4" s="13" t="s">
        <v>125</v>
      </c>
      <c r="D4" s="13" t="s">
        <v>126</v>
      </c>
      <c r="E4" s="13" t="s">
        <v>127</v>
      </c>
      <c r="F4" s="13" t="s">
        <v>34</v>
      </c>
    </row>
    <row r="5" customFormat="false" ht="15" hidden="false" customHeight="false" outlineLevel="0" collapsed="false">
      <c r="A5" s="15" t="inlineStr">
        <is>
          <t xml:space="preserve">Procesar y comunicar vía LoRa</t>
        </is>
      </c>
      <c r="B5" s="15" t="inlineStr">
        <is>
          <t xml:space="preserve">4 Comunicación</t>
        </is>
      </c>
      <c r="C5" s="15" t="inlineStr">
        <is>
          <t xml:space="preserve">Procesar datos del tótem y transmitir por LoRa 915 MHz a la base, sin red celular (solo datos numéricos: ID, hora, clima, estado, SOS).</t>
        </is>
      </c>
      <c r="D5" s="20" t="n">
        <f aca="false">IF(A5="","",COUNTIF(BOM!$C$9:$C$208,A5))</f>
        <v>6</v>
      </c>
      <c r="E5" s="21" t="n">
        <f aca="false">IF(A5="","",SUMIF(BOM!$C$9:$C$208,A5,BOM!$L$9:$L$208))</f>
        <v>136710</v>
      </c>
      <c r="F5" s="22" t="str">
        <f aca="false">IF(A5="","",IF(D5=0,IF(B5="6 Información","Servicio / software (sin BOM físico)","Sin componente → falta en BOM"),"OK"))</f>
        <v>OK</v>
      </c>
    </row>
    <row r="6" customFormat="false" ht="15" hidden="false" customHeight="false" outlineLevel="0" collapsed="false">
      <c r="A6" s="15" t="inlineStr">
        <is>
          <t xml:space="preserve">Identificar paso de senderista (clip BLE)</t>
        </is>
      </c>
      <c r="B6" s="15" t="inlineStr">
        <is>
          <t xml:space="preserve">2 Interacción</t>
        </is>
      </c>
      <c r="C6" s="15" t="inlineStr">
        <is>
          <t xml:space="preserve">Detectar al senderista por el ID BLE de su clip cuando pasa cerca del tótem (reemplaza pulsera RFID pasiva).</t>
        </is>
      </c>
      <c r="D6" s="20" t="n">
        <f aca="false">IF(A6="","",COUNTIF(BOM!$C$9:$C$208,A6))</f>
        <v>1</v>
      </c>
      <c r="E6" s="21" t="n">
        <f aca="false">IF(A6="","",SUMIF(BOM!$C$9:$C$208,A6,BOM!$L$9:$L$208))</f>
        <v>28470</v>
      </c>
      <c r="F6" s="22" t="str">
        <f aca="false">IF(A6="","",IF(D6=0,IF(B6="6 Información","Servicio / software (sin BOM físico)","Sin componente → falta en BOM"),"OK"))</f>
        <v>OK</v>
      </c>
    </row>
    <row r="7" customFormat="false" ht="26.85" hidden="false" customHeight="false" outlineLevel="0" collapsed="false">
      <c r="A7" s="15" t="inlineStr">
        <is>
          <t xml:space="preserve">Alertar al senderista con pitido (clip)</t>
        </is>
      </c>
      <c r="B7" s="15" t="inlineStr">
        <is>
          <t xml:space="preserve">2 Interacción</t>
        </is>
      </c>
      <c r="C7" s="15" t="inlineStr">
        <is>
          <t xml:space="preserve">El clip pita cuando el tótem determina condición insegura (clima o hora límite).</t>
        </is>
      </c>
      <c r="D7" s="20" t="n">
        <f aca="false">IF(A7="","",COUNTIF(BOM!$C$9:$C$208,A7))</f>
        <v>1</v>
      </c>
      <c r="E7" s="21" t="n">
        <f aca="false">IF(A7="","",SUMIF(BOM!$C$9:$C$208,A7,BOM!$L$9:$L$208))</f>
        <v>2400</v>
      </c>
      <c r="F7" s="22" t="str">
        <f aca="false">IF(A7="","",IF(D7=0,IF(B7="6 Información","Servicio / software (sin BOM físico)","Sin componente → falta en BOM"),"OK"))</f>
        <v>OK</v>
      </c>
    </row>
    <row r="8" customFormat="false" ht="15" hidden="false" customHeight="false" outlineLevel="0" collapsed="false">
      <c r="A8" s="15" t="inlineStr">
        <is>
          <t xml:space="preserve">Alimentar y encender el clip</t>
        </is>
      </c>
      <c r="B8" s="15" t="inlineStr">
        <is>
          <t xml:space="preserve">3 Dispositivos</t>
        </is>
      </c>
      <c r="C8" s="15" t="inlineStr">
        <is>
          <t xml:space="preserve">Batería LiPo e interruptor del clip.</t>
        </is>
      </c>
      <c r="D8" s="20" t="n">
        <f aca="false">IF(A8="","",COUNTIF(BOM!$C$9:$C$208,A8))</f>
        <v>2</v>
      </c>
      <c r="E8" s="21" t="n">
        <f aca="false">IF(A8="","",SUMIF(BOM!$C$9:$C$208,A8,BOM!$L$9:$L$208))</f>
        <v>16500</v>
      </c>
      <c r="F8" s="22" t="str">
        <f aca="false">IF(A8="","",IF(D8=0,IF(B8="6 Información","Servicio / software (sin BOM físico)","Sin componente → falta en BOM"),"OK"))</f>
        <v>OK</v>
      </c>
    </row>
    <row r="9" customFormat="false" ht="15" hidden="false" customHeight="false" outlineLevel="0" collapsed="false">
      <c r="A9" s="15" t="inlineStr">
        <is>
          <t xml:space="preserve">Medir clima y presión atmosférica</t>
        </is>
      </c>
      <c r="B9" s="15" t="inlineStr">
        <is>
          <t xml:space="preserve">3 Dispositivos</t>
        </is>
      </c>
      <c r="C9" s="15" t="inlineStr">
        <is>
          <t xml:space="preserve">Presión, temperatura y humedad (BME280, fuera de la caja) para anticipar lluvia/viento.</t>
        </is>
      </c>
      <c r="D9" s="20" t="n">
        <f aca="false">IF(A9="","",COUNTIF(BOM!$C$9:$C$208,A9))</f>
        <v>1</v>
      </c>
      <c r="E9" s="21" t="n">
        <f aca="false">IF(A9="","",SUMIF(BOM!$C$9:$C$208,A9,BOM!$L$9:$L$208))</f>
        <v>17300</v>
      </c>
      <c r="F9" s="22" t="str">
        <f aca="false">IF(A9="","",IF(D9=0,IF(B9="6 Información","Servicio / software (sin BOM físico)","Sin componente → falta en BOM"),"OK"))</f>
        <v>OK</v>
      </c>
    </row>
    <row r="10" customFormat="false" ht="15" hidden="false" customHeight="false" outlineLevel="0" collapsed="false">
      <c r="A10" s="15" t="inlineStr">
        <is>
          <t xml:space="preserve">Poner hora real y guardar registros (RTC)</t>
        </is>
      </c>
      <c r="B10" s="15" t="inlineStr">
        <is>
          <t xml:space="preserve">5 Procesamiento</t>
        </is>
      </c>
      <c r="C10" s="15" t="inlineStr">
        <is>
          <t xml:space="preserve">Hora real en cada registro y reenvío si se corta LoRa (DS3231).</t>
        </is>
      </c>
      <c r="D10" s="20" t="n">
        <f aca="false">IF(A10="","",COUNTIF(BOM!$C$9:$C$208,A10))</f>
        <v>1</v>
      </c>
      <c r="E10" s="21" t="n">
        <f aca="false">IF(A10="","",SUMIF(BOM!$C$9:$C$208,A10,BOM!$L$9:$L$208))</f>
        <v>7000</v>
      </c>
      <c r="F10" s="22" t="str">
        <f aca="false">IF(A10="","",IF(D10=0,IF(B10="6 Información","Servicio / software (sin BOM físico)","Sin componente → falta en BOM"),"OK"))</f>
        <v>OK</v>
      </c>
    </row>
    <row r="11" customFormat="false" ht="15" hidden="false" customHeight="false" outlineLevel="0" collapsed="false">
      <c r="A11" s="15" t="inlineStr">
        <is>
          <t xml:space="preserve">Emitir señal de auxilio manual (SOS en tótem)</t>
        </is>
      </c>
      <c r="B11" s="15" t="inlineStr">
        <is>
          <t xml:space="preserve">2 Interacción</t>
        </is>
      </c>
      <c r="C11" s="15" t="inlineStr">
        <is>
          <t xml:space="preserve">Botón físico SOS en el tótem (no en el clip): llega a la base y al guardaparque.</t>
        </is>
      </c>
      <c r="D11" s="20" t="n">
        <f aca="false">IF(A11="","",COUNTIF(BOM!$C$9:$C$208,A11))</f>
        <v>1</v>
      </c>
      <c r="E11" s="21" t="n">
        <f aca="false">IF(A11="","",SUMIF(BOM!$C$9:$C$208,A11,BOM!$L$9:$L$208))</f>
        <v>10000</v>
      </c>
      <c r="F11" s="22" t="str">
        <f aca="false">IF(A11="","",IF(D11=0,IF(B11="6 Información","Servicio / software (sin BOM físico)","Sin componente → falta en BOM"),"OK"))</f>
        <v>OK</v>
      </c>
    </row>
    <row r="12" customFormat="false" ht="26.85" hidden="false" customHeight="false" outlineLevel="0" collapsed="false">
      <c r="A12" s="15" t="inlineStr">
        <is>
          <t xml:space="preserve">Mostrar estado y alertas locales</t>
        </is>
      </c>
      <c r="B12" s="15" t="inlineStr">
        <is>
          <t xml:space="preserve">2 Interacción</t>
        </is>
      </c>
      <c r="C12" s="15" t="inlineStr">
        <is>
          <t xml:space="preserve">LED, buzzer y OLED del tótem; manejo por transistores.</t>
        </is>
      </c>
      <c r="D12" s="20" t="n">
        <f aca="false">IF(A12="","",COUNTIF(BOM!$C$9:$C$208,A12))</f>
        <v>3</v>
      </c>
      <c r="E12" s="21" t="n">
        <f aca="false">IF(A12="","",SUMIF(BOM!$C$9:$C$208,A12,BOM!$L$9:$L$208))</f>
        <v>9000</v>
      </c>
      <c r="F12" s="22" t="str">
        <f aca="false">IF(A12="","",IF(D12=0,IF(B12="6 Información","Servicio / software (sin BOM físico)","Sin componente → falta en BOM"),"OK"))</f>
        <v>OK</v>
      </c>
    </row>
    <row r="13" customFormat="false" ht="26.85" hidden="false" customHeight="false" outlineLevel="0" collapsed="false">
      <c r="A13" s="15" t="inlineStr">
        <is>
          <t xml:space="preserve">Alimentar nodo de forma autónoma</t>
        </is>
      </c>
      <c r="B13" s="15" t="inlineStr">
        <is>
          <t xml:space="preserve">3 Dispositivos</t>
        </is>
      </c>
      <c r="C13" s="15" t="inlineStr">
        <is>
          <t xml:space="preserve">Panel 20 W + controlador PWM + batería AGM 12 V 7 Ah por tótem.</t>
        </is>
      </c>
      <c r="D13" s="20" t="n">
        <f aca="false">IF(A13="","",COUNTIF(BOM!$C$9:$C$208,A13))</f>
        <v>3</v>
      </c>
      <c r="E13" s="21" t="n">
        <f aca="false">IF(A13="","",SUMIF(BOM!$C$9:$C$208,A13,BOM!$L$9:$L$208))</f>
        <v>97274</v>
      </c>
      <c r="F13" s="22" t="str">
        <f aca="false">IF(A13="","",IF(D13=0,IF(B13="6 Información","Servicio / software (sin BOM físico)","Sin componente → falta en BOM"),"OK"))</f>
        <v>OK</v>
      </c>
    </row>
    <row r="14" customFormat="false" ht="15" hidden="false" customHeight="false" outlineLevel="0" collapsed="false">
      <c r="A14" s="15" t="inlineStr">
        <is>
          <t xml:space="preserve">Convertir y proteger la energía (5 V / fusible)</t>
        </is>
      </c>
      <c r="B14" s="15" t="inlineStr">
        <is>
          <t xml:space="preserve">5 Procesamiento</t>
        </is>
      </c>
      <c r="C14" s="15" t="inlineStr">
        <is>
          <t xml:space="preserve">Bajar 12 V a 5 V para la Heltec y proteger con fusible.</t>
        </is>
      </c>
      <c r="D14" s="20" t="n">
        <f aca="false">IF(A14="","",COUNTIF(BOM!$C$9:$C$208,A14))</f>
        <v>2</v>
      </c>
      <c r="E14" s="21" t="n">
        <f aca="false">IF(A14="","",SUMIF(BOM!$C$9:$C$208,A14,BOM!$L$9:$L$208))</f>
        <v>10000</v>
      </c>
      <c r="F14" s="22" t="str">
        <f aca="false">IF(A14="","",IF(D14=0,IF(B14="6 Información","Servicio / software (sin BOM físico)","Sin componente → falta en BOM"),"OK"))</f>
        <v>OK</v>
      </c>
    </row>
    <row r="15" customFormat="false" ht="15" hidden="false" customHeight="false" outlineLevel="0" collapsed="false">
      <c r="A15" s="15" t="inlineStr">
        <is>
          <t xml:space="preserve">Sostener estructura de tótem (1:1)</t>
        </is>
      </c>
      <c r="B15" s="15" t="inlineStr">
        <is>
          <t xml:space="preserve">Estructura física</t>
        </is>
      </c>
      <c r="C15" s="15" t="inlineStr">
        <is>
          <t xml:space="preserve">Poste a escala real 1:1 para validar ergonomía y visibilidad.</t>
        </is>
      </c>
      <c r="D15" s="20" t="n">
        <f aca="false">IF(A15="","",COUNTIF(BOM!$C$9:$C$208,A15))</f>
        <v>1</v>
      </c>
      <c r="E15" s="21" t="n">
        <f aca="false">IF(A15="","",SUMIF(BOM!$C$9:$C$208,A15,BOM!$L$9:$L$208))</f>
        <v>29980</v>
      </c>
      <c r="F15" s="22" t="str">
        <f aca="false">IF(A15="","",IF(D15=0,IF(B15="6 Información","Servicio / software (sin BOM físico)","Sin componente → falta en BOM"),"OK"))</f>
        <v>OK</v>
      </c>
    </row>
    <row r="16" customFormat="false" ht="15" hidden="false" customHeight="false" outlineLevel="0" collapsed="false">
      <c r="A16" s="15" t="inlineStr">
        <is>
          <t xml:space="preserve">Proteger componentes contra intemperie</t>
        </is>
      </c>
      <c r="B16" s="15" t="inlineStr">
        <is>
          <t xml:space="preserve">Estructura física</t>
        </is>
      </c>
      <c r="C16" s="15" t="inlineStr">
        <is>
          <t xml:space="preserve">Caja IP65, prensaestopas, silicona y gel de sílice contra lluvia y condensación.</t>
        </is>
      </c>
      <c r="D16" s="20" t="n">
        <f aca="false">IF(A16="","",COUNTIF(BOM!$C$9:$C$208,A16))</f>
        <v>3</v>
      </c>
      <c r="E16" s="21" t="n">
        <f aca="false">IF(A16="","",SUMIF(BOM!$C$9:$C$208,A16,BOM!$L$9:$L$208))</f>
        <v>21480</v>
      </c>
      <c r="F16" s="22" t="str">
        <f aca="false">IF(A16="","",IF(D16=0,IF(B16="6 Información","Servicio / software (sin BOM físico)","Sin componente → falta en BOM"),"OK"))</f>
        <v>OK</v>
      </c>
    </row>
    <row r="17" customFormat="false" ht="15" hidden="false" customHeight="false" outlineLevel="0" collapsed="false">
      <c r="A17" s="15" t="inlineStr">
        <is>
          <t xml:space="preserve">Alojar y fijar el clip al senderista</t>
        </is>
      </c>
      <c r="B17" s="15" t="inlineStr">
        <is>
          <t xml:space="preserve">Estructura física</t>
        </is>
      </c>
      <c r="C17" s="15" t="inlineStr">
        <is>
          <t xml:space="preserve">Pinza y mini caja plástica para llevar el clip en ropa o mochila (sin piezas impresas).</t>
        </is>
      </c>
      <c r="D17" s="20" t="n">
        <f aca="false">IF(A17="","",COUNTIF(BOM!$C$9:$C$208,A17))</f>
        <v>2</v>
      </c>
      <c r="E17" s="21" t="n">
        <f aca="false">IF(A17="","",SUMIF(BOM!$C$9:$C$208,A17,BOM!$L$9:$L$208))</f>
        <v>6900</v>
      </c>
      <c r="F17" s="22" t="str">
        <f aca="false">IF(A17="","",IF(D17=0,IF(B17="6 Información","Servicio / software (sin BOM físico)","Sin componente → falta en BOM"),"OK"))</f>
        <v>OK</v>
      </c>
    </row>
    <row r="18" customFormat="false" ht="15" hidden="false" customHeight="false" outlineLevel="0" collapsed="false">
      <c r="A18" s="15" t="inlineStr">
        <is>
          <t xml:space="preserve">Conectar componentes y cableado</t>
        </is>
      </c>
      <c r="B18" s="15" t="inlineStr">
        <is>
          <t xml:space="preserve">3 Dispositivos</t>
        </is>
      </c>
      <c r="C18" s="15" t="inlineStr">
        <is>
          <t xml:space="preserve">Cableado de potencia y señal, soldadura, regletas, terminales y fijaciones.</t>
        </is>
      </c>
      <c r="D18" s="20" t="n">
        <f aca="false">IF(A18="","",COUNTIF(BOM!$C$9:$C$208,A18))</f>
        <v>8</v>
      </c>
      <c r="E18" s="21" t="n">
        <f aca="false">IF(A18="","",SUMIF(BOM!$C$9:$C$208,A18,BOM!$L$9:$L$208))</f>
        <v>36300</v>
      </c>
      <c r="F18" s="22" t="str">
        <f aca="false">IF(A18="","",IF(D18=0,IF(B18="6 Información","Servicio / software (sin BOM físico)","Sin componente → falta en BOM"),"OK"))</f>
        <v>OK</v>
      </c>
    </row>
    <row r="19" customFormat="false" ht="15" hidden="false" customHeight="false" outlineLevel="0" collapsed="false">
      <c r="A19" s="15" t="inlineStr">
        <is>
          <t xml:space="preserve">Conectar la base (gateway) al PC</t>
        </is>
      </c>
      <c r="B19" s="15" t="inlineStr">
        <is>
          <t xml:space="preserve">4 Comunicación</t>
        </is>
      </c>
      <c r="C19" s="15" t="inlineStr">
        <is>
          <t xml:space="preserve">Heltec de la base al PC por USB (gateway).</t>
        </is>
      </c>
      <c r="D19" s="20" t="n">
        <f aca="false">IF(A19="","",COUNTIF(BOM!$C$9:$C$208,A19))</f>
        <v>1</v>
      </c>
      <c r="E19" s="21" t="n">
        <f aca="false">IF(A19="","",SUMIF(BOM!$C$9:$C$208,A19,BOM!$L$9:$L$208))</f>
        <v>3000</v>
      </c>
      <c r="F19" s="22" t="str">
        <f aca="false">IF(A19="","",IF(D19=0,IF(B19="6 Información","Servicio / software (sin BOM físico)","Sin componente → falta en BOM"),"OK"))</f>
        <v>OK</v>
      </c>
    </row>
    <row r="20" customFormat="false" ht="15" hidden="false" customHeight="false" outlineLevel="0" collapsed="false">
      <c r="A20" s="15" t="inlineStr">
        <is>
          <t xml:space="preserve">Registrar trazabilidad y calcular atrasos</t>
        </is>
      </c>
      <c r="B20" s="15" t="inlineStr">
        <is>
          <t xml:space="preserve">6 Información</t>
        </is>
      </c>
      <c r="C20" s="15" t="inlineStr">
        <is>
          <t xml:space="preserve">Base de datos que calcula tiempos por tramo y detecta no-retornos.</t>
        </is>
      </c>
      <c r="D20" s="20" t="n">
        <f aca="false">IF(A20="","",COUNTIF(BOM!$C$9:$C$208,A20))</f>
        <v>0</v>
      </c>
      <c r="E20" s="21" t="n">
        <f aca="false">IF(A20="","",SUMIF(BOM!$C$9:$C$208,A20,BOM!$L$9:$L$208))</f>
        <v>0</v>
      </c>
      <c r="F20" s="22" t="str">
        <f aca="false">IF(A20="","",IF(D20=0,IF(B20="6 Información","Servicio / software (sin BOM físico)","Sin componente → falta en BOM"),"OK"))</f>
        <v>Servicio / software (sin BOM físico)</v>
      </c>
    </row>
    <row r="21" customFormat="false" ht="15" hidden="false" customHeight="false" outlineLevel="0" collapsed="false">
      <c r="A21" s="15" t="inlineStr">
        <is>
          <t xml:space="preserve">Monitorear aforo y alertas en portería</t>
        </is>
      </c>
      <c r="B21" s="15" t="inlineStr">
        <is>
          <t xml:space="preserve">6 Información</t>
        </is>
      </c>
      <c r="C21" s="15" t="inlineStr">
        <is>
          <t xml:space="preserve">Dashboard web de guardaparques con aforo, clima y alertas SOS.</t>
        </is>
      </c>
      <c r="D21" s="20" t="n">
        <f aca="false">IF(A21="","",COUNTIF(BOM!$C$9:$C$208,A21))</f>
        <v>0</v>
      </c>
      <c r="E21" s="21" t="n">
        <f aca="false">IF(A21="","",SUMIF(BOM!$C$9:$C$208,A21,BOM!$L$9:$L$208))</f>
        <v>0</v>
      </c>
      <c r="F21" s="22" t="str">
        <f aca="false">IF(A21="","",IF(D21=0,IF(B21="6 Información","Servicio / software (sin BOM físico)","Sin componente → falta en BOM"),"OK"))</f>
        <v>Servicio / software (sin BOM físico)</v>
      </c>
    </row>
    <row r="22" customFormat="false" ht="15" hidden="false" customHeight="false" outlineLevel="0" collapsed="false">
      <c r="A22" s="15"/>
      <c r="B22" s="15"/>
      <c r="C22" s="15"/>
      <c r="D22" s="20" t="str">
        <f aca="false">IF(A22="","",COUNTIF(BOM!$C$9:$C$208,A22))</f>
        <v/>
      </c>
      <c r="E22" s="21" t="str">
        <f aca="false">IF(A22="","",SUMIF(BOM!$C$9:$C$208,A22,BOM!$L$9:$L$208))</f>
        <v/>
      </c>
      <c r="F22" s="22" t="str">
        <f aca="false">IF(A22="","",IF(D22=0,IF(B22="6 Información","Servicio / software (sin BOM físico)","Sin componente → falta en BOM"),"OK"))</f>
        <v/>
      </c>
    </row>
    <row r="23" customFormat="false" ht="15" hidden="false" customHeight="false" outlineLevel="0" collapsed="false">
      <c r="A23" s="15"/>
      <c r="B23" s="15"/>
      <c r="C23" s="15"/>
      <c r="D23" s="20" t="str">
        <f aca="false">IF(A23="","",COUNTIF(BOM!$C$9:$C$208,A23))</f>
        <v/>
      </c>
      <c r="E23" s="21" t="str">
        <f aca="false">IF(A23="","",SUMIF(BOM!$C$9:$C$208,A23,BOM!$L$9:$L$208))</f>
        <v/>
      </c>
      <c r="F23" s="22" t="str">
        <f aca="false">IF(A23="","",IF(D23=0,IF(B23="6 Información","Servicio / software (sin BOM físico)","Sin componente → falta en BOM"),"OK"))</f>
        <v/>
      </c>
    </row>
    <row r="24" customFormat="false" ht="15" hidden="false" customHeight="false" outlineLevel="0" collapsed="false">
      <c r="A24" s="15"/>
      <c r="B24" s="15"/>
      <c r="C24" s="15"/>
      <c r="D24" s="20" t="str">
        <f aca="false">IF(A24="","",COUNTIF(BOM!$C$9:$C$208,A24))</f>
        <v/>
      </c>
      <c r="E24" s="21" t="str">
        <f aca="false">IF(A24="","",SUMIF(BOM!$C$9:$C$208,A24,BOM!$L$9:$L$208))</f>
        <v/>
      </c>
      <c r="F24" s="22" t="str">
        <f aca="false">IF(A24="","",IF(D24=0,IF(B24="6 Información","Servicio / software (sin BOM físico)","Sin componente → falta en BOM"),"OK"))</f>
        <v/>
      </c>
    </row>
    <row r="25" customFormat="false" ht="15" hidden="false" customHeight="false" outlineLevel="0" collapsed="false">
      <c r="A25" s="15"/>
      <c r="B25" s="15"/>
      <c r="C25" s="15"/>
      <c r="D25" s="20" t="str">
        <f aca="false">IF(A25="","",COUNTIF(BOM!$C$9:$C$208,A25))</f>
        <v/>
      </c>
      <c r="E25" s="21" t="str">
        <f aca="false">IF(A25="","",SUMIF(BOM!$C$9:$C$208,A25,BOM!$L$9:$L$208))</f>
        <v/>
      </c>
      <c r="F25" s="22" t="str">
        <f aca="false">IF(A25="","",IF(D25=0,IF(B25="6 Información","Servicio / software (sin BOM físico)","Sin componente → falta en BOM"),"OK"))</f>
        <v/>
      </c>
    </row>
    <row r="26" customFormat="false" ht="15" hidden="false" customHeight="false" outlineLevel="0" collapsed="false">
      <c r="A26" s="15"/>
      <c r="B26" s="15"/>
      <c r="C26" s="15"/>
      <c r="D26" s="20" t="str">
        <f aca="false">IF(A26="","",COUNTIF(BOM!$C$9:$C$208,A26))</f>
        <v/>
      </c>
      <c r="E26" s="21" t="str">
        <f aca="false">IF(A26="","",SUMIF(BOM!$C$9:$C$208,A26,BOM!$L$9:$L$208))</f>
        <v/>
      </c>
      <c r="F26" s="22" t="str">
        <f aca="false">IF(A26="","",IF(D26=0,IF(B26="6 Información","Servicio / software (sin BOM físico)","Sin componente → falta en BOM"),"OK"))</f>
        <v/>
      </c>
    </row>
    <row r="27" customFormat="false" ht="15" hidden="false" customHeight="false" outlineLevel="0" collapsed="false">
      <c r="A27" s="15"/>
      <c r="B27" s="15"/>
      <c r="C27" s="15"/>
      <c r="D27" s="20" t="str">
        <f aca="false">IF(A27="","",COUNTIF(BOM!$C$9:$C$208,A27))</f>
        <v/>
      </c>
      <c r="E27" s="21" t="str">
        <f aca="false">IF(A27="","",SUMIF(BOM!$C$9:$C$208,A27,BOM!$L$9:$L$208))</f>
        <v/>
      </c>
      <c r="F27" s="22" t="str">
        <f aca="false">IF(A27="","",IF(D27=0,IF(B27="6 Información","Servicio / software (sin BOM físico)","Sin componente → falta en BOM"),"OK"))</f>
        <v/>
      </c>
    </row>
    <row r="28" customFormat="false" ht="15" hidden="false" customHeight="false" outlineLevel="0" collapsed="false">
      <c r="A28" s="15"/>
      <c r="B28" s="15"/>
      <c r="C28" s="15"/>
      <c r="D28" s="20" t="str">
        <f aca="false">IF(A28="","",COUNTIF(BOM!$C$9:$C$208,A28))</f>
        <v/>
      </c>
      <c r="E28" s="21" t="str">
        <f aca="false">IF(A28="","",SUMIF(BOM!$C$9:$C$208,A28,BOM!$L$9:$L$208))</f>
        <v/>
      </c>
      <c r="F28" s="22" t="str">
        <f aca="false">IF(A28="","",IF(D28=0,IF(B28="6 Información","Servicio / software (sin BOM físico)","Sin componente → falta en BOM"),"OK"))</f>
        <v/>
      </c>
    </row>
    <row r="29" customFormat="false" ht="15" hidden="false" customHeight="false" outlineLevel="0" collapsed="false">
      <c r="A29" s="15"/>
      <c r="B29" s="15"/>
      <c r="C29" s="15"/>
      <c r="D29" s="20" t="str">
        <f aca="false">IF(A29="","",COUNTIF(BOM!$C$9:$C$208,A29))</f>
        <v/>
      </c>
      <c r="E29" s="21" t="str">
        <f aca="false">IF(A29="","",SUMIF(BOM!$C$9:$C$208,A29,BOM!$L$9:$L$208))</f>
        <v/>
      </c>
      <c r="F29" s="22" t="str">
        <f aca="false">IF(A29="","",IF(D29=0,IF(B29="6 Información","Servicio / software (sin BOM físico)","Sin componente → falta en BOM"),"OK"))</f>
        <v/>
      </c>
    </row>
    <row r="30" customFormat="false" ht="15" hidden="false" customHeight="false" outlineLevel="0" collapsed="false">
      <c r="A30" s="15"/>
      <c r="B30" s="15"/>
      <c r="C30" s="15"/>
      <c r="D30" s="20" t="str">
        <f aca="false">IF(A30="","",COUNTIF(BOM!$C$9:$C$208,A30))</f>
        <v/>
      </c>
      <c r="E30" s="21" t="str">
        <f aca="false">IF(A30="","",SUMIF(BOM!$C$9:$C$208,A30,BOM!$L$9:$L$208))</f>
        <v/>
      </c>
      <c r="F30" s="22" t="str">
        <f aca="false">IF(A30="","",IF(D30=0,IF(B30="6 Información","Servicio / software (sin BOM físico)","Sin componente → falta en BOM"),"OK"))</f>
        <v/>
      </c>
    </row>
    <row r="31" customFormat="false" ht="15" hidden="false" customHeight="false" outlineLevel="0" collapsed="false">
      <c r="A31" s="15"/>
      <c r="B31" s="15"/>
      <c r="C31" s="15"/>
      <c r="D31" s="20" t="str">
        <f aca="false">IF(A31="","",COUNTIF(BOM!$C$9:$C$208,A31))</f>
        <v/>
      </c>
      <c r="E31" s="21" t="str">
        <f aca="false">IF(A31="","",SUMIF(BOM!$C$9:$C$208,A31,BOM!$L$9:$L$208))</f>
        <v/>
      </c>
      <c r="F31" s="22" t="str">
        <f aca="false">IF(A31="","",IF(D31=0,IF(B31="6 Información","Servicio / software (sin BOM físico)","Sin componente → falta en BOM"),"OK"))</f>
        <v/>
      </c>
    </row>
    <row r="32" customFormat="false" ht="15" hidden="false" customHeight="false" outlineLevel="0" collapsed="false">
      <c r="A32" s="15"/>
      <c r="B32" s="15"/>
      <c r="C32" s="15"/>
      <c r="D32" s="20" t="str">
        <f aca="false">IF(A32="","",COUNTIF(BOM!$C$9:$C$208,A32))</f>
        <v/>
      </c>
      <c r="E32" s="21" t="str">
        <f aca="false">IF(A32="","",SUMIF(BOM!$C$9:$C$208,A32,BOM!$L$9:$L$208))</f>
        <v/>
      </c>
      <c r="F32" s="22" t="str">
        <f aca="false">IF(A32="","",IF(D32=0,IF(B32="6 Información","Servicio / software (sin BOM físico)","Sin componente → falta en BOM"),"OK"))</f>
        <v/>
      </c>
    </row>
    <row r="33" customFormat="false" ht="15" hidden="false" customHeight="false" outlineLevel="0" collapsed="false">
      <c r="A33" s="15"/>
      <c r="B33" s="15"/>
      <c r="C33" s="15"/>
      <c r="D33" s="20" t="str">
        <f aca="false">IF(A33="","",COUNTIF(BOM!$C$9:$C$208,A33))</f>
        <v/>
      </c>
      <c r="E33" s="21" t="str">
        <f aca="false">IF(A33="","",SUMIF(BOM!$C$9:$C$208,A33,BOM!$L$9:$L$208))</f>
        <v/>
      </c>
      <c r="F33" s="22" t="str">
        <f aca="false">IF(A33="","",IF(D33=0,IF(B33="6 Información","Servicio / software (sin BOM físico)","Sin componente → falta en BOM"),"OK"))</f>
        <v/>
      </c>
    </row>
    <row r="34" customFormat="false" ht="15" hidden="false" customHeight="false" outlineLevel="0" collapsed="false">
      <c r="A34" s="15"/>
      <c r="B34" s="15"/>
      <c r="C34" s="15"/>
      <c r="D34" s="20" t="str">
        <f aca="false">IF(A34="","",COUNTIF(BOM!$C$9:$C$208,A34))</f>
        <v/>
      </c>
      <c r="E34" s="21" t="str">
        <f aca="false">IF(A34="","",SUMIF(BOM!$C$9:$C$208,A34,BOM!$L$9:$L$208))</f>
        <v/>
      </c>
      <c r="F34" s="22" t="str">
        <f aca="false">IF(A34="","",IF(D34=0,IF(B34="6 Información","Servicio / software (sin BOM físico)","Sin componente → falta en BOM"),"OK"))</f>
        <v/>
      </c>
    </row>
    <row r="35" customFormat="false" ht="15" hidden="false" customHeight="false" outlineLevel="0" collapsed="false">
      <c r="A35" s="15"/>
      <c r="B35" s="15"/>
      <c r="C35" s="15"/>
      <c r="D35" s="20" t="str">
        <f aca="false">IF(A35="","",COUNTIF(BOM!$C$9:$C$208,A35))</f>
        <v/>
      </c>
      <c r="E35" s="21" t="str">
        <f aca="false">IF(A35="","",SUMIF(BOM!$C$9:$C$208,A35,BOM!$L$9:$L$208))</f>
        <v/>
      </c>
      <c r="F35" s="22" t="str">
        <f aca="false">IF(A35="","",IF(D35=0,IF(B35="6 Información","Servicio / software (sin BOM físico)","Sin componente → falta en BOM"),"OK"))</f>
        <v/>
      </c>
    </row>
    <row r="36" customFormat="false" ht="15" hidden="false" customHeight="false" outlineLevel="0" collapsed="false">
      <c r="A36" s="15"/>
      <c r="B36" s="15"/>
      <c r="C36" s="15"/>
      <c r="D36" s="20" t="str">
        <f aca="false">IF(A36="","",COUNTIF(BOM!$C$9:$C$208,A36))</f>
        <v/>
      </c>
      <c r="E36" s="21" t="str">
        <f aca="false">IF(A36="","",SUMIF(BOM!$C$9:$C$208,A36,BOM!$L$9:$L$208))</f>
        <v/>
      </c>
      <c r="F36" s="22" t="str">
        <f aca="false">IF(A36="","",IF(D36=0,IF(B36="6 Información","Servicio / software (sin BOM físico)","Sin componente → falta en BOM"),"OK"))</f>
        <v/>
      </c>
    </row>
    <row r="37" customFormat="false" ht="15" hidden="false" customHeight="false" outlineLevel="0" collapsed="false">
      <c r="A37" s="15"/>
      <c r="B37" s="15"/>
      <c r="C37" s="15"/>
      <c r="D37" s="20" t="str">
        <f aca="false">IF(A37="","",COUNTIF(BOM!$C$9:$C$208,A37))</f>
        <v/>
      </c>
      <c r="E37" s="21" t="str">
        <f aca="false">IF(A37="","",SUMIF(BOM!$C$9:$C$208,A37,BOM!$L$9:$L$208))</f>
        <v/>
      </c>
      <c r="F37" s="22" t="str">
        <f aca="false">IF(A37="","",IF(D37=0,IF(B37="6 Información","Servicio / software (sin BOM físico)","Sin componente → falta en BOM"),"OK"))</f>
        <v/>
      </c>
    </row>
    <row r="38" customFormat="false" ht="15" hidden="false" customHeight="false" outlineLevel="0" collapsed="false">
      <c r="A38" s="15"/>
      <c r="B38" s="15"/>
      <c r="C38" s="15"/>
      <c r="D38" s="20" t="str">
        <f aca="false">IF(A38="","",COUNTIF(BOM!$C$9:$C$208,A38))</f>
        <v/>
      </c>
      <c r="E38" s="21" t="str">
        <f aca="false">IF(A38="","",SUMIF(BOM!$C$9:$C$208,A38,BOM!$L$9:$L$208))</f>
        <v/>
      </c>
      <c r="F38" s="22" t="str">
        <f aca="false">IF(A38="","",IF(D38=0,IF(B38="6 Información","Servicio / software (sin BOM físico)","Sin componente → falta en BOM"),"OK"))</f>
        <v/>
      </c>
    </row>
    <row r="39" customFormat="false" ht="15" hidden="false" customHeight="false" outlineLevel="0" collapsed="false">
      <c r="A39" s="15"/>
      <c r="B39" s="15"/>
      <c r="C39" s="15"/>
      <c r="D39" s="20" t="str">
        <f aca="false">IF(A39="","",COUNTIF(BOM!$C$9:$C$208,A39))</f>
        <v/>
      </c>
      <c r="E39" s="21" t="str">
        <f aca="false">IF(A39="","",SUMIF(BOM!$C$9:$C$208,A39,BOM!$L$9:$L$208))</f>
        <v/>
      </c>
      <c r="F39" s="22" t="str">
        <f aca="false">IF(A39="","",IF(D39=0,IF(B39="6 Información","Servicio / software (sin BOM físico)","Sin componente → falta en BOM"),"OK"))</f>
        <v/>
      </c>
    </row>
    <row r="40" customFormat="false" ht="15" hidden="false" customHeight="false" outlineLevel="0" collapsed="false">
      <c r="A40" s="15"/>
      <c r="B40" s="15"/>
      <c r="C40" s="15"/>
      <c r="D40" s="20" t="str">
        <f aca="false">IF(A40="","",COUNTIF(BOM!$C$9:$C$208,A40))</f>
        <v/>
      </c>
      <c r="E40" s="21" t="str">
        <f aca="false">IF(A40="","",SUMIF(BOM!$C$9:$C$208,A40,BOM!$L$9:$L$208))</f>
        <v/>
      </c>
      <c r="F40" s="22" t="str">
        <f aca="false">IF(A40="","",IF(D40=0,IF(B40="6 Información","Servicio / software (sin BOM físico)","Sin componente → falta en BOM"),"OK"))</f>
        <v/>
      </c>
    </row>
    <row r="41" customFormat="false" ht="15" hidden="false" customHeight="false" outlineLevel="0" collapsed="false">
      <c r="A41" s="15"/>
      <c r="B41" s="15"/>
      <c r="C41" s="15"/>
      <c r="D41" s="20" t="str">
        <f aca="false">IF(A41="","",COUNTIF(BOM!$C$9:$C$208,A41))</f>
        <v/>
      </c>
      <c r="E41" s="21" t="str">
        <f aca="false">IF(A41="","",SUMIF(BOM!$C$9:$C$208,A41,BOM!$L$9:$L$208))</f>
        <v/>
      </c>
      <c r="F41" s="22" t="str">
        <f aca="false">IF(A41="","",IF(D41=0,IF(B41="6 Información","Servicio / software (sin BOM físico)","Sin componente → falta en BOM"),"OK"))</f>
        <v/>
      </c>
    </row>
    <row r="42" customFormat="false" ht="15" hidden="false" customHeight="false" outlineLevel="0" collapsed="false">
      <c r="A42" s="15"/>
      <c r="B42" s="15"/>
      <c r="C42" s="15"/>
      <c r="D42" s="20" t="str">
        <f aca="false">IF(A42="","",COUNTIF(BOM!$C$9:$C$208,A42))</f>
        <v/>
      </c>
      <c r="E42" s="21" t="str">
        <f aca="false">IF(A42="","",SUMIF(BOM!$C$9:$C$208,A42,BOM!$L$9:$L$208))</f>
        <v/>
      </c>
      <c r="F42" s="22" t="str">
        <f aca="false">IF(A42="","",IF(D42=0,IF(B42="6 Información","Servicio / software (sin BOM físico)","Sin componente → falta en BOM"),"OK"))</f>
        <v/>
      </c>
    </row>
    <row r="43" customFormat="false" ht="15" hidden="false" customHeight="false" outlineLevel="0" collapsed="false">
      <c r="A43" s="15"/>
      <c r="B43" s="15"/>
      <c r="C43" s="15"/>
      <c r="D43" s="20" t="str">
        <f aca="false">IF(A43="","",COUNTIF(BOM!$C$9:$C$208,A43))</f>
        <v/>
      </c>
      <c r="E43" s="21" t="str">
        <f aca="false">IF(A43="","",SUMIF(BOM!$C$9:$C$208,A43,BOM!$L$9:$L$208))</f>
        <v/>
      </c>
      <c r="F43" s="22" t="str">
        <f aca="false">IF(A43="","",IF(D43=0,IF(B43="6 Información","Servicio / software (sin BOM físico)","Sin componente → falta en BOM"),"OK"))</f>
        <v/>
      </c>
    </row>
    <row r="44" customFormat="false" ht="15" hidden="false" customHeight="false" outlineLevel="0" collapsed="false">
      <c r="A44" s="15"/>
      <c r="B44" s="15"/>
      <c r="C44" s="15"/>
      <c r="D44" s="20" t="str">
        <f aca="false">IF(A44="","",COUNTIF(BOM!$C$9:$C$208,A44))</f>
        <v/>
      </c>
      <c r="E44" s="21" t="str">
        <f aca="false">IF(A44="","",SUMIF(BOM!$C$9:$C$208,A44,BOM!$L$9:$L$208))</f>
        <v/>
      </c>
      <c r="F44" s="22" t="str">
        <f aca="false">IF(A44="","",IF(D44=0,IF(B44="6 Información","Servicio / software (sin BOM físico)","Sin componente → falta en BOM"),"OK"))</f>
        <v/>
      </c>
    </row>
    <row r="45" customFormat="false" ht="15" hidden="false" customHeight="false" outlineLevel="0" collapsed="false">
      <c r="A45" s="15"/>
      <c r="B45" s="15"/>
      <c r="C45" s="15"/>
      <c r="D45" s="20" t="str">
        <f aca="false">IF(A45="","",COUNTIF(BOM!$C$9:$C$208,A45))</f>
        <v/>
      </c>
      <c r="E45" s="21" t="str">
        <f aca="false">IF(A45="","",SUMIF(BOM!$C$9:$C$208,A45,BOM!$L$9:$L$208))</f>
        <v/>
      </c>
      <c r="F45" s="22" t="str">
        <f aca="false">IF(A45="","",IF(D45=0,IF(B45="6 Información","Servicio / software (sin BOM físico)","Sin componente → falta en BOM"),"OK"))</f>
        <v/>
      </c>
    </row>
    <row r="46" customFormat="false" ht="15" hidden="false" customHeight="false" outlineLevel="0" collapsed="false">
      <c r="A46" s="15"/>
      <c r="B46" s="15"/>
      <c r="C46" s="15"/>
      <c r="D46" s="20" t="str">
        <f aca="false">IF(A46="","",COUNTIF(BOM!$C$9:$C$208,A46))</f>
        <v/>
      </c>
      <c r="E46" s="21" t="str">
        <f aca="false">IF(A46="","",SUMIF(BOM!$C$9:$C$208,A46,BOM!$L$9:$L$208))</f>
        <v/>
      </c>
      <c r="F46" s="22" t="str">
        <f aca="false">IF(A46="","",IF(D46=0,IF(B46="6 Información","Servicio / software (sin BOM físico)","Sin componente → falta en BOM"),"OK"))</f>
        <v/>
      </c>
    </row>
    <row r="47" customFormat="false" ht="15" hidden="false" customHeight="false" outlineLevel="0" collapsed="false">
      <c r="A47" s="15"/>
      <c r="B47" s="15"/>
      <c r="C47" s="15"/>
      <c r="D47" s="20" t="str">
        <f aca="false">IF(A47="","",COUNTIF(BOM!$C$9:$C$208,A47))</f>
        <v/>
      </c>
      <c r="E47" s="21" t="str">
        <f aca="false">IF(A47="","",SUMIF(BOM!$C$9:$C$208,A47,BOM!$L$9:$L$208))</f>
        <v/>
      </c>
      <c r="F47" s="22" t="str">
        <f aca="false">IF(A47="","",IF(D47=0,IF(B47="6 Información","Servicio / software (sin BOM físico)","Sin componente → falta en BOM"),"OK"))</f>
        <v/>
      </c>
    </row>
    <row r="48" customFormat="false" ht="15" hidden="false" customHeight="false" outlineLevel="0" collapsed="false">
      <c r="A48" s="15"/>
      <c r="B48" s="15"/>
      <c r="C48" s="15"/>
      <c r="D48" s="20" t="str">
        <f aca="false">IF(A48="","",COUNTIF(BOM!$C$9:$C$208,A48))</f>
        <v/>
      </c>
      <c r="E48" s="21" t="str">
        <f aca="false">IF(A48="","",SUMIF(BOM!$C$9:$C$208,A48,BOM!$L$9:$L$208))</f>
        <v/>
      </c>
      <c r="F48" s="22" t="str">
        <f aca="false">IF(A48="","",IF(D48=0,IF(B48="6 Información","Servicio / software (sin BOM físico)","Sin componente → falta en BOM"),"OK"))</f>
        <v/>
      </c>
    </row>
    <row r="49" customFormat="false" ht="15" hidden="false" customHeight="false" outlineLevel="0" collapsed="false">
      <c r="A49" s="15"/>
      <c r="B49" s="15"/>
      <c r="C49" s="15"/>
      <c r="D49" s="20" t="str">
        <f aca="false">IF(A49="","",COUNTIF(BOM!$C$9:$C$208,A49))</f>
        <v/>
      </c>
      <c r="E49" s="21" t="str">
        <f aca="false">IF(A49="","",SUMIF(BOM!$C$9:$C$208,A49,BOM!$L$9:$L$208))</f>
        <v/>
      </c>
      <c r="F49" s="22" t="str">
        <f aca="false">IF(A49="","",IF(D49=0,IF(B49="6 Información","Servicio / software (sin BOM físico)","Sin componente → falta en BOM"),"OK"))</f>
        <v/>
      </c>
    </row>
    <row r="50" customFormat="false" ht="15" hidden="false" customHeight="false" outlineLevel="0" collapsed="false">
      <c r="A50" s="15"/>
      <c r="B50" s="15"/>
      <c r="C50" s="15"/>
      <c r="D50" s="20" t="str">
        <f aca="false">IF(A50="","",COUNTIF(BOM!$C$9:$C$208,A50))</f>
        <v/>
      </c>
      <c r="E50" s="21" t="str">
        <f aca="false">IF(A50="","",SUMIF(BOM!$C$9:$C$208,A50,BOM!$L$9:$L$208))</f>
        <v/>
      </c>
      <c r="F50" s="22" t="str">
        <f aca="false">IF(A50="","",IF(D50=0,IF(B50="6 Información","Servicio / software (sin BOM físico)","Sin componente → falta en BOM"),"OK"))</f>
        <v/>
      </c>
    </row>
    <row r="51" customFormat="false" ht="15" hidden="false" customHeight="false" outlineLevel="0" collapsed="false">
      <c r="A51" s="15"/>
      <c r="B51" s="15"/>
      <c r="C51" s="15"/>
      <c r="D51" s="20" t="str">
        <f aca="false">IF(A51="","",COUNTIF(BOM!$C$9:$C$208,A51))</f>
        <v/>
      </c>
      <c r="E51" s="21" t="str">
        <f aca="false">IF(A51="","",SUMIF(BOM!$C$9:$C$208,A51,BOM!$L$9:$L$208))</f>
        <v/>
      </c>
      <c r="F51" s="22" t="str">
        <f aca="false">IF(A51="","",IF(D51=0,IF(B51="6 Información","Servicio / software (sin BOM físico)","Sin componente → falta en BOM"),"OK"))</f>
        <v/>
      </c>
    </row>
    <row r="52" customFormat="false" ht="15" hidden="false" customHeight="false" outlineLevel="0" collapsed="false">
      <c r="A52" s="15"/>
      <c r="B52" s="15"/>
      <c r="C52" s="15"/>
      <c r="D52" s="20" t="str">
        <f aca="false">IF(A52="","",COUNTIF(BOM!$C$9:$C$208,A52))</f>
        <v/>
      </c>
      <c r="E52" s="21" t="str">
        <f aca="false">IF(A52="","",SUMIF(BOM!$C$9:$C$208,A52,BOM!$L$9:$L$208))</f>
        <v/>
      </c>
      <c r="F52" s="22" t="str">
        <f aca="false">IF(A52="","",IF(D52=0,IF(B52="6 Información","Servicio / software (sin BOM físico)","Sin componente → falta en BOM"),"OK"))</f>
        <v/>
      </c>
    </row>
    <row r="53" customFormat="false" ht="15" hidden="false" customHeight="false" outlineLevel="0" collapsed="false">
      <c r="A53" s="15"/>
      <c r="B53" s="15"/>
      <c r="C53" s="15"/>
      <c r="D53" s="20" t="str">
        <f aca="false">IF(A53="","",COUNTIF(BOM!$C$9:$C$208,A53))</f>
        <v/>
      </c>
      <c r="E53" s="21" t="str">
        <f aca="false">IF(A53="","",SUMIF(BOM!$C$9:$C$208,A53,BOM!$L$9:$L$208))</f>
        <v/>
      </c>
      <c r="F53" s="22" t="str">
        <f aca="false">IF(A53="","",IF(D53=0,IF(B53="6 Información","Servicio / software (sin BOM físico)","Sin componente → falta en BOM"),"OK"))</f>
        <v/>
      </c>
    </row>
    <row r="54" customFormat="false" ht="15" hidden="false" customHeight="false" outlineLevel="0" collapsed="false">
      <c r="A54" s="15"/>
      <c r="B54" s="15"/>
      <c r="C54" s="15"/>
      <c r="D54" s="20" t="str">
        <f aca="false">IF(A54="","",COUNTIF(BOM!$C$9:$C$208,A54))</f>
        <v/>
      </c>
      <c r="E54" s="21" t="str">
        <f aca="false">IF(A54="","",SUMIF(BOM!$C$9:$C$208,A54,BOM!$L$9:$L$208))</f>
        <v/>
      </c>
      <c r="F54" s="22" t="str">
        <f aca="false">IF(A54="","",IF(D54=0,IF(B54="6 Información","Servicio / software (sin BOM físico)","Sin componente → falta en BOM"),"OK"))</f>
        <v/>
      </c>
    </row>
    <row r="55" customFormat="false" ht="15" hidden="false" customHeight="false" outlineLevel="0" collapsed="false">
      <c r="A55" s="15"/>
      <c r="B55" s="15"/>
      <c r="C55" s="15"/>
      <c r="D55" s="20" t="str">
        <f aca="false">IF(A55="","",COUNTIF(BOM!$C$9:$C$208,A55))</f>
        <v/>
      </c>
      <c r="E55" s="21" t="str">
        <f aca="false">IF(A55="","",SUMIF(BOM!$C$9:$C$208,A55,BOM!$L$9:$L$208))</f>
        <v/>
      </c>
      <c r="F55" s="22" t="str">
        <f aca="false">IF(A55="","",IF(D55=0,IF(B55="6 Información","Servicio / software (sin BOM físico)","Sin componente → falta en BOM"),"OK"))</f>
        <v/>
      </c>
    </row>
    <row r="56" customFormat="false" ht="15" hidden="false" customHeight="false" outlineLevel="0" collapsed="false">
      <c r="A56" s="15"/>
      <c r="B56" s="15"/>
      <c r="C56" s="15"/>
      <c r="D56" s="20" t="str">
        <f aca="false">IF(A56="","",COUNTIF(BOM!$C$9:$C$208,A56))</f>
        <v/>
      </c>
      <c r="E56" s="21" t="str">
        <f aca="false">IF(A56="","",SUMIF(BOM!$C$9:$C$208,A56,BOM!$L$9:$L$208))</f>
        <v/>
      </c>
      <c r="F56" s="22" t="str">
        <f aca="false">IF(A56="","",IF(D56=0,IF(B56="6 Información","Servicio / software (sin BOM físico)","Sin componente → falta en BOM"),"OK"))</f>
        <v/>
      </c>
    </row>
    <row r="57" customFormat="false" ht="15" hidden="false" customHeight="false" outlineLevel="0" collapsed="false">
      <c r="A57" s="15"/>
      <c r="B57" s="15"/>
      <c r="C57" s="15"/>
      <c r="D57" s="20" t="str">
        <f aca="false">IF(A57="","",COUNTIF(BOM!$C$9:$C$208,A57))</f>
        <v/>
      </c>
      <c r="E57" s="21" t="str">
        <f aca="false">IF(A57="","",SUMIF(BOM!$C$9:$C$208,A57,BOM!$L$9:$L$208))</f>
        <v/>
      </c>
      <c r="F57" s="22" t="str">
        <f aca="false">IF(A57="","",IF(D57=0,IF(B57="6 Información","Servicio / software (sin BOM físico)","Sin componente → falta en BOM"),"OK"))</f>
        <v/>
      </c>
    </row>
    <row r="58" customFormat="false" ht="15" hidden="false" customHeight="false" outlineLevel="0" collapsed="false">
      <c r="A58" s="15"/>
      <c r="B58" s="15"/>
      <c r="C58" s="15"/>
      <c r="D58" s="20" t="str">
        <f aca="false">IF(A58="","",COUNTIF(BOM!$C$9:$C$208,A58))</f>
        <v/>
      </c>
      <c r="E58" s="21" t="str">
        <f aca="false">IF(A58="","",SUMIF(BOM!$C$9:$C$208,A58,BOM!$L$9:$L$208))</f>
        <v/>
      </c>
      <c r="F58" s="22" t="str">
        <f aca="false">IF(A58="","",IF(D58=0,IF(B58="6 Información","Servicio / software (sin BOM físico)","Sin componente → falta en BOM"),"OK"))</f>
        <v/>
      </c>
    </row>
    <row r="59" customFormat="false" ht="15" hidden="false" customHeight="false" outlineLevel="0" collapsed="false">
      <c r="A59" s="15"/>
      <c r="B59" s="15"/>
      <c r="C59" s="15"/>
      <c r="D59" s="20" t="str">
        <f aca="false">IF(A59="","",COUNTIF(BOM!$C$9:$C$208,A59))</f>
        <v/>
      </c>
      <c r="E59" s="21" t="str">
        <f aca="false">IF(A59="","",SUMIF(BOM!$C$9:$C$208,A59,BOM!$L$9:$L$208))</f>
        <v/>
      </c>
      <c r="F59" s="22" t="str">
        <f aca="false">IF(A59="","",IF(D59=0,IF(B59="6 Información","Servicio / software (sin BOM físico)","Sin componente → falta en BOM"),"OK"))</f>
        <v/>
      </c>
    </row>
    <row r="60" customFormat="false" ht="15" hidden="false" customHeight="false" outlineLevel="0" collapsed="false">
      <c r="A60" s="15"/>
      <c r="B60" s="15"/>
      <c r="C60" s="15"/>
      <c r="D60" s="20" t="str">
        <f aca="false">IF(A60="","",COUNTIF(BOM!$C$9:$C$208,A60))</f>
        <v/>
      </c>
      <c r="E60" s="21" t="str">
        <f aca="false">IF(A60="","",SUMIF(BOM!$C$9:$C$208,A60,BOM!$L$9:$L$208))</f>
        <v/>
      </c>
      <c r="F60" s="22" t="str">
        <f aca="false">IF(A60="","",IF(D60=0,IF(B60="6 Información","Servicio / software (sin BOM físico)","Sin componente → falta en BOM"),"OK"))</f>
        <v/>
      </c>
    </row>
  </sheetData>
  <conditionalFormatting sqref="F5:F60">
    <cfRule type="expression" priority="2" aboveAverage="0" equalAverage="0" bottom="0" percent="0" rank="0" text="" dxfId="6">
      <formula>LEFT($F5,3)="Sin"</formula>
    </cfRule>
  </conditionalFormatting>
  <dataValidations count="1">
    <dataValidation allowBlank="true" errorStyle="stop" operator="between" showDropDown="false" showErrorMessage="false" showInputMessage="false" sqref="B5:B60" type="list">
      <formula1>Listas!$E$2:$E$9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" t="s">
        <v>144</v>
      </c>
    </row>
    <row r="3" customFormat="false" ht="15" hidden="false" customHeight="false" outlineLevel="0" collapsed="false">
      <c r="A3" s="23" t="s">
        <v>16</v>
      </c>
      <c r="B3" s="23" t="s">
        <v>145</v>
      </c>
      <c r="C3" s="23" t="s">
        <v>146</v>
      </c>
      <c r="D3" s="23" t="s">
        <v>147</v>
      </c>
      <c r="E3" s="23" t="s">
        <v>52</v>
      </c>
    </row>
    <row r="4" customFormat="false" ht="15" hidden="false" customHeight="false" outlineLevel="0" collapsed="false">
      <c r="A4" s="24" t="s">
        <v>66</v>
      </c>
      <c r="B4" s="25" t="n">
        <f aca="false">COUNTIF(BOM!$B$9:$B$208,A4)</f>
        <v>22</v>
      </c>
      <c r="C4" s="26" t="n">
        <f aca="false">SUMIF(BOM!$B$9:$B$208,A4,BOM!$L$9:$L$208)</f>
        <v>337654</v>
      </c>
      <c r="D4" s="27" t="n">
        <f aca="false">IF($C$10=0,0,C4/$C$10)</f>
        <v>0.781038781996419</v>
      </c>
      <c r="E4" s="25" t="n">
        <f aca="false">COUNTIFS(BOM!$B$9:$B$208,A4,BOM!$K$9:$K$208,"")</f>
        <v>0</v>
      </c>
    </row>
    <row r="5" customFormat="false" ht="15" hidden="false" customHeight="false" outlineLevel="0" collapsed="false">
      <c r="A5" s="24" t="s">
        <v>112</v>
      </c>
      <c r="B5" s="25" t="n">
        <f aca="false">COUNTIF(BOM!$B$9:$B$208,A5)</f>
        <v>4</v>
      </c>
      <c r="C5" s="26" t="n">
        <f aca="false">SUMIF(BOM!$B$9:$B$208,A5,BOM!$L$9:$L$208)</f>
        <v>50860</v>
      </c>
      <c r="D5" s="27" t="n">
        <f aca="false">IF($C$10=0,0,C5/$C$10)</f>
        <v>0.117645970290113</v>
      </c>
      <c r="E5" s="25" t="n">
        <f aca="false">COUNTIFS(BOM!$B$9:$B$208,A5,BOM!$K$9:$K$208,"")</f>
        <v>0</v>
      </c>
    </row>
    <row r="6" customFormat="false" ht="15" hidden="false" customHeight="false" outlineLevel="0" collapsed="false">
      <c r="A6" s="24" t="s">
        <v>148</v>
      </c>
      <c r="B6" s="25" t="n">
        <f aca="false">COUNTIF(BOM!$B$9:$B$208,A6)</f>
        <v>0</v>
      </c>
      <c r="C6" s="26" t="n">
        <f aca="false">SUMIF(BOM!$B$9:$B$208,A6,BOM!$L$9:$L$208)</f>
        <v>0</v>
      </c>
      <c r="D6" s="27" t="n">
        <f aca="false">IF($C$10=0,0,C6/$C$10)</f>
        <v>0</v>
      </c>
      <c r="E6" s="25" t="n">
        <f aca="false">COUNTIFS(BOM!$B$9:$B$208,A6,BOM!$K$9:$K$208,"")</f>
        <v>0</v>
      </c>
    </row>
    <row r="7" customFormat="false" ht="15" hidden="false" customHeight="false" outlineLevel="0" collapsed="false">
      <c r="A7" s="24" t="s">
        <v>149</v>
      </c>
      <c r="B7" s="25" t="n">
        <f aca="false">COUNTIF(BOM!$B$9:$B$208,A7)</f>
        <v>1</v>
      </c>
      <c r="C7" s="26" t="n">
        <f aca="false">SUMIF(BOM!$B$9:$B$208,A7,BOM!$L$9:$L$208)</f>
        <v>3500</v>
      </c>
      <c r="D7" s="27" t="n">
        <f aca="false">IF($C$10=0,0,C7/$C$10)</f>
        <v>0.00809596728303964</v>
      </c>
      <c r="E7" s="25" t="n">
        <f aca="false">COUNTIFS(BOM!$B$9:$B$208,A7,BOM!$K$9:$K$208,"")</f>
        <v>0</v>
      </c>
    </row>
    <row r="8" customFormat="false" ht="15" hidden="false" customHeight="false" outlineLevel="0" collapsed="false">
      <c r="A8" s="24" t="s">
        <v>105</v>
      </c>
      <c r="B8" s="25" t="n">
        <f aca="false">COUNTIF(BOM!$B$9:$B$208,A8)</f>
        <v>9</v>
      </c>
      <c r="C8" s="26" t="n">
        <f aca="false">SUMIF(BOM!$B$9:$B$208,A8,BOM!$L$9:$L$208)</f>
        <v>40300</v>
      </c>
      <c r="D8" s="27" t="n">
        <f aca="false">IF($C$10=0,0,C8/$C$10)</f>
        <v>0.0932192804304279</v>
      </c>
      <c r="E8" s="25" t="n">
        <f aca="false">COUNTIFS(BOM!$B$9:$B$208,A8,BOM!$K$9:$K$208,"")</f>
        <v>0</v>
      </c>
    </row>
    <row r="9" customFormat="false" ht="15" hidden="false" customHeight="false" outlineLevel="0" collapsed="false">
      <c r="A9" s="24" t="s">
        <v>150</v>
      </c>
      <c r="B9" s="25" t="n">
        <f aca="false">COUNTIF(BOM!$B$9:$B$208,A9)</f>
        <v>0</v>
      </c>
      <c r="C9" s="26" t="n">
        <f aca="false">SUMIF(BOM!$B$9:$B$208,A9,BOM!$L$9:$L$208)</f>
        <v>0</v>
      </c>
      <c r="D9" s="27" t="n">
        <f aca="false">IF($C$10=0,0,C9/$C$10)</f>
        <v>0</v>
      </c>
      <c r="E9" s="25" t="n">
        <f aca="false">COUNTIFS(BOM!$B$9:$B$208,A9,BOM!$K$9:$K$208,"")</f>
        <v>0</v>
      </c>
    </row>
    <row r="10" customFormat="false" ht="15" hidden="false" customHeight="false" outlineLevel="0" collapsed="false">
      <c r="A10" s="28" t="s">
        <v>151</v>
      </c>
      <c r="B10" s="29" t="n">
        <f aca="false">SUM(B4:B9)</f>
        <v>36</v>
      </c>
      <c r="C10" s="30" t="n">
        <f aca="false">SUM(C4:C9)</f>
        <v>432314</v>
      </c>
      <c r="D10" s="31" t="n">
        <f aca="false">SUM(D4:D9)</f>
        <v>1</v>
      </c>
      <c r="E10" s="29" t="n">
        <f aca="false">SUM(E4:E9)</f>
        <v>0</v>
      </c>
    </row>
    <row r="12" customFormat="false" ht="15" hidden="false" customHeight="false" outlineLevel="0" collapsed="false">
      <c r="A12" s="2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40"/>
    <col collapsed="false" customWidth="true" hidden="false" outlineLevel="0" max="7" min="6" style="0" width="20"/>
  </cols>
  <sheetData>
    <row r="1" customFormat="false" ht="19.7" hidden="false" customHeight="false" outlineLevel="0" collapsed="false">
      <c r="A1" s="1" t="s">
        <v>153</v>
      </c>
    </row>
    <row r="3" customFormat="false" ht="26.85" hidden="false" customHeight="false" outlineLevel="0" collapsed="false">
      <c r="A3" s="32" t="s">
        <v>50</v>
      </c>
      <c r="B3" s="32" t="s">
        <v>53</v>
      </c>
      <c r="C3" s="32" t="s">
        <v>154</v>
      </c>
      <c r="D3" s="32" t="s">
        <v>155</v>
      </c>
      <c r="E3" s="32" t="s">
        <v>156</v>
      </c>
      <c r="F3" s="32" t="s">
        <v>157</v>
      </c>
      <c r="G3" s="32" t="s">
        <v>158</v>
      </c>
    </row>
    <row r="4" customFormat="false" ht="26.85" hidden="false" customHeight="false" outlineLevel="0" collapsed="false">
      <c r="A4" s="15" t="inlineStr">
        <is>
          <t xml:space="preserve">BOM_v01</t>
        </is>
      </c>
      <c r="B4" s="15" t="inlineStr">
        <is>
          <t xml:space="preserve">28-09-2026</t>
        </is>
      </c>
      <c r="C4" s="15" t="inlineStr">
        <is>
          <t xml:space="preserve">Valeria Cheetham</t>
        </is>
      </c>
      <c r="D4" s="15" t="inlineStr">
        <is>
          <t xml:space="preserve">BOM inicial basado en arquitectura de trazabilidad por pórticos LoRa y pulseras RFID.</t>
        </is>
      </c>
      <c r="E4" s="15" t="inlineStr">
        <is>
          <t xml:space="preserve">Acotar alcance: medir tiempo y clima barométrico, descartar biometría compleja y dar soporte a pórtico 1:1 + maquetas a escala.</t>
        </is>
      </c>
      <c r="F4" s="15" t="inlineStr">
        <is>
          <t xml:space="preserve">E01–A01</t>
        </is>
      </c>
      <c r="G4" s="33" t="n">
        <v>168500</v>
      </c>
    </row>
    <row r="5" customFormat="false" ht="230" hidden="false" customHeight="true" outlineLevel="0" collapsed="false">
      <c r="A5" s="15" t="inlineStr">
        <is>
          <t xml:space="preserve">BOM_v1.1</t>
        </is>
      </c>
      <c r="B5" s="15" t="inlineStr">
        <is>
          <t xml:space="preserve">01-10-2026</t>
        </is>
      </c>
      <c r="C5" s="15" t="inlineStr">
        <is>
          <t xml:space="preserve">Maximiliano Greve</t>
        </is>
      </c>
      <c r="D5" s="15" t="inlineStr">
        <is>
          <t xml:space="preserve">Arquitectura 1.1. (1) Se elimina el lector RFID RC522 y la pulsera pasiva; se agrega clip BLE activo con XIAO ESP32-C3, LiPo, buzzer, interruptor y pinza (E03, E04, E11, E12, M03). (2) El SOS pasa al tótem y se duplica (E07). (3) La Heltec V3 del tótem decide seguro/inseguro y se separa de la base: E01 tótem ×2, E02 base ×1. (4) Se agregan RTC DS3231 (E06), transistores (E10), antena 915 MHz con pigtail U.FL→SMA (E13–E16) y cable USB de datos (E17). (5) Energía: se reemplaza panel 5,5 V + 18650 + TP4056 por panel 20 W, controlador PWM, batería AGM 12 V 7 Ah, fusible 5 A y LM2596 12→5 V (E18–E22). (6) BME280, SOS, LED, buzzer, poste y caja pasan a ×2 (un juego por tótem); LED RGB reemplaza al WS2812B. Se elimina el filamento 3D (no se imprimirá nada) y se agrega mini caja plástica para el clip (M04). (7) Cableado desglosado y se agrega sellado (A01–A09, T01). (8) Se descarta la cámara y el SOS en la pulsera. Se agrega la hoja Fases: Fase 1 (11 ítems, $108.400) para probar el alcance LoRa caseta↔Cerro La Cruz con las antenas incluidas, y Fase 2 (el resto, incluida la cadena solar) solo si la prueba funciona.</t>
        </is>
      </c>
      <c r="E5" s="15" t="inlineStr">
        <is>
          <t xml:space="preserve">Barreras detectadas: LoRa no sirve para imágenes; RFID alcanza solo centímetros y no puede avisar al senderista; el clip no tiene LoRa, así que el SOS solo puede ir en el tótem; el panel de 170 mA no alimenta BLE + LoRa; el GPIO de la Heltec no maneja un buzzer fuerte; la Heltec V3 no tolera 12 V; el BME280 dentro de la caja mide mal; la batería AGM no cabe en la caja; LoRa en Chile usa 915 MHz (los módulos de 433 MHz no sirven). Se corrigió además el MPN del SOS (decía WS2812B) (el filamento de v01 ya no aplica).</t>
        </is>
      </c>
      <c r="F5" s="15" t="inlineStr">
        <is>
          <t xml:space="preserve">Todos (E01–E22, M01–M04, A01–A09, T01). Eliminados de v01: lector RFID, pulsera RFID, panel 5,5 V + 18650 + TP4056.</t>
        </is>
      </c>
      <c r="G5" s="33" t="n">
        <f>BOM!F2-G4</f>
        <v>263814</v>
      </c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33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33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33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33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33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33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33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33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33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33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33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33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33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33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33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33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33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33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33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33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33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33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33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33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33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33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33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33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33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33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33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33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33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6"/>
  </cols>
  <sheetData>
    <row r="1" customFormat="false" ht="15" hidden="false" customHeight="false" outlineLevel="0" collapsed="false">
      <c r="A1" s="34" t="s">
        <v>16</v>
      </c>
      <c r="B1" s="34" t="s">
        <v>57</v>
      </c>
      <c r="C1" s="34" t="s">
        <v>62</v>
      </c>
      <c r="D1" s="34" t="s">
        <v>34</v>
      </c>
      <c r="E1" s="34" t="s">
        <v>124</v>
      </c>
    </row>
    <row r="2" customFormat="false" ht="15" hidden="false" customHeight="false" outlineLevel="0" collapsed="false">
      <c r="A2" s="35" t="s">
        <v>66</v>
      </c>
      <c r="B2" s="35" t="s">
        <v>70</v>
      </c>
      <c r="C2" s="35" t="s">
        <v>71</v>
      </c>
      <c r="D2" s="35" t="s">
        <v>86</v>
      </c>
      <c r="E2" s="35" t="s">
        <v>163</v>
      </c>
    </row>
    <row r="3" customFormat="false" ht="15" hidden="false" customHeight="false" outlineLevel="0" collapsed="false">
      <c r="A3" s="35" t="s">
        <v>112</v>
      </c>
      <c r="B3" s="35" t="s">
        <v>92</v>
      </c>
      <c r="C3" s="35" t="s">
        <v>164</v>
      </c>
      <c r="D3" s="35" t="s">
        <v>73</v>
      </c>
      <c r="E3" s="35" t="s">
        <v>133</v>
      </c>
    </row>
    <row r="4" customFormat="false" ht="15" hidden="false" customHeight="false" outlineLevel="0" collapsed="false">
      <c r="A4" s="35" t="s">
        <v>148</v>
      </c>
      <c r="B4" s="35" t="s">
        <v>116</v>
      </c>
      <c r="C4" s="35" t="s">
        <v>165</v>
      </c>
      <c r="D4" s="35" t="s">
        <v>166</v>
      </c>
      <c r="E4" s="35" t="s">
        <v>128</v>
      </c>
    </row>
    <row r="5" customFormat="false" ht="15" hidden="false" customHeight="false" outlineLevel="0" collapsed="false">
      <c r="A5" s="35" t="s">
        <v>149</v>
      </c>
      <c r="B5" s="35" t="s">
        <v>167</v>
      </c>
      <c r="C5" s="35" t="s">
        <v>85</v>
      </c>
      <c r="D5" s="35" t="s">
        <v>168</v>
      </c>
      <c r="E5" s="35" t="s">
        <v>169</v>
      </c>
    </row>
    <row r="6" customFormat="false" ht="15" hidden="false" customHeight="false" outlineLevel="0" collapsed="false">
      <c r="A6" s="35" t="s">
        <v>105</v>
      </c>
      <c r="B6" s="35" t="s">
        <v>170</v>
      </c>
      <c r="D6" s="35" t="s">
        <v>171</v>
      </c>
      <c r="E6" s="35" t="s">
        <v>131</v>
      </c>
    </row>
    <row r="7" customFormat="false" ht="15" hidden="false" customHeight="false" outlineLevel="0" collapsed="false">
      <c r="A7" s="35" t="s">
        <v>150</v>
      </c>
      <c r="B7" s="35" t="s">
        <v>172</v>
      </c>
      <c r="D7" s="35" t="s">
        <v>173</v>
      </c>
      <c r="E7" s="35" t="s">
        <v>142</v>
      </c>
    </row>
    <row r="8" customFormat="false" ht="15" hidden="false" customHeight="false" outlineLevel="0" collapsed="false">
      <c r="B8" s="35" t="s">
        <v>174</v>
      </c>
      <c r="E8" s="35" t="s">
        <v>175</v>
      </c>
    </row>
    <row r="9" customFormat="false" ht="15" hidden="false" customHeight="false" outlineLevel="0" collapsed="false">
      <c r="B9" s="35" t="s">
        <v>176</v>
      </c>
      <c r="E9" s="35" t="s">
        <v>137</v>
      </c>
    </row>
    <row r="10" customFormat="false" ht="15" hidden="false" customHeight="false" outlineLevel="0" collapsed="false">
      <c r="B10" s="35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sheetFormatPr defaultRowHeight="15"/>
  <cols>
    <col min="1" max="1" width="12" customWidth="1"/>
    <col min="2" max="2" width="38" customWidth="1"/>
    <col min="3" max="3" width="22" customWidth="1"/>
    <col min="4" max="4" width="9" customWidth="1"/>
    <col min="5" max="5" width="14" customWidth="1"/>
    <col min="6" max="6" width="16" customWidth="1"/>
    <col min="7" max="7" width="70" customWidth="1"/>
    <col min="8" max="8" width="52" customWidth="1"/>
  </cols>
  <sheetData>
    <row r="1" ht="19.7" customHeight="true">
      <c r="A1" s="1" t="inlineStr">
        <is>
          <t xml:space="preserve">Fases de compra</t>
        </is>
      </c>
    </row>
    <row r="2">
      <c r="A2" s="2" t="inlineStr">
        <is>
          <t xml:space="preserve">Fase 1 = lo que se compra ahora para probar el alcance LoRa (caseta ↔ Cerro La Cruz) y la detección BLE. Fase 2 = lo que se compra después, solo si la prueba funciona. El tótem de prueba se alimenta con powerbank o USB (no incluido).</t>
        </is>
      </c>
    </row>
    <row r="4" ht="16" customHeight="true">
      <c r="A4" s="3" t="inlineStr">
        <is>
          <t xml:space="preserve">FASE 1 · Comprar ahora (prueba de alcance LoRa + BLE)</t>
        </is>
      </c>
    </row>
    <row r="5" ht="30" customHeight="true">
      <c r="A5" s="13" t="inlineStr">
        <is>
          <t xml:space="preserve">ID</t>
        </is>
      </c>
      <c r="B5" s="13" t="inlineStr">
        <is>
          <t xml:space="preserve">Componente</t>
        </is>
      </c>
      <c r="C5" s="13" t="inlineStr">
        <is>
          <t xml:space="preserve">Proveedor</t>
        </is>
      </c>
      <c r="D5" s="13" t="inlineStr">
        <is>
          <t xml:space="preserve">Cant.</t>
        </is>
      </c>
      <c r="E5" s="13" t="inlineStr">
        <is>
          <t xml:space="preserve">$ Unit. (CLP)</t>
        </is>
      </c>
      <c r="F5" s="13" t="inlineStr">
        <is>
          <t xml:space="preserve">$ Subtotal (CLP)</t>
        </is>
      </c>
      <c r="G5" s="13" t="inlineStr">
        <is>
          <t xml:space="preserve">Enlace (tienda o datasheet)</t>
        </is>
      </c>
      <c r="H5" s="13" t="inlineStr">
        <is>
          <t xml:space="preserve">Para qué / cuándo</t>
        </is>
      </c>
    </row>
    <row r="6" ht="30" customHeight="true">
      <c r="A6" s="14" t="inlineStr">
        <is>
          <t xml:space="preserve">E01</t>
        </is>
      </c>
      <c r="B6" s="22" t="str">
        <f>INDEX(BOM!$D$9:$D$208,MATCH($A6,BOM!$A$9:$A$208,0))</f>
        <v>Microcontrolador LoRa del tótem</v>
      </c>
      <c r="C6" s="22" t="str">
        <f>INDEX(BOM!$I$9:$I$208,MATCH($A6,BOM!$A$9:$A$208,0))</f>
        <v>Zona Industrial</v>
      </c>
      <c r="D6" s="16" t="n">
        <v>1</v>
      </c>
      <c r="E6" s="18" t="n">
        <f>INDEX(BOM!$K$9:$K$208,MATCH($A6,BOM!$A$9:$A$208,0))</f>
        <v>38080</v>
      </c>
      <c r="F6" s="18" t="n">
        <f>D6*E6</f>
        <v>38080</v>
      </c>
      <c r="G6" s="22" t="str">
        <f>INDEX(BOM!$J$9:$J$208,MATCH($A6,BOM!$A$9:$A$208,0))</f>
        <v>https://www.zonaindustrial.cl/shop/heltec-wi-fi-lora-32-v3-meshtastic-con-carcasa-y-antena-57777</v>
      </c>
      <c r="H6" s="15" t="inlineStr">
        <is>
          <t xml:space="preserve">Tótem de prueba (1 de 2): decide seguro/inseguro y habla por LoRa</t>
        </is>
      </c>
    </row>
    <row r="7" ht="30" customHeight="true">
      <c r="A7" s="14" t="inlineStr">
        <is>
          <t xml:space="preserve">E02</t>
        </is>
      </c>
      <c r="B7" s="22" t="str">
        <f>INDEX(BOM!$D$9:$D$208,MATCH($A7,BOM!$A$9:$A$208,0))</f>
        <v>Microcontrolador LoRa de la base (gateway)</v>
      </c>
      <c r="C7" s="22" t="str">
        <f>INDEX(BOM!$I$9:$I$208,MATCH($A7,BOM!$A$9:$A$208,0))</f>
        <v>Zona Industrial</v>
      </c>
      <c r="D7" s="16" t="n">
        <v>1</v>
      </c>
      <c r="E7" s="18" t="n">
        <f>INDEX(BOM!$K$9:$K$208,MATCH($A7,BOM!$A$9:$A$208,0))</f>
        <v>38080</v>
      </c>
      <c r="F7" s="18" t="n">
        <f>D7*E7</f>
        <v>38080</v>
      </c>
      <c r="G7" s="22" t="str">
        <f>INDEX(BOM!$J$9:$J$208,MATCH($A7,BOM!$A$9:$A$208,0))</f>
        <v>https://www.zonaindustrial.cl/shop/heltec-wi-fi-lora-32-v3-meshtastic-con-carcasa-y-antena-57777</v>
      </c>
      <c r="H7" s="15" t="inlineStr">
        <is>
          <t xml:space="preserve">Base: recibe LoRa y la pasa al PC</t>
        </is>
      </c>
    </row>
    <row r="8" ht="30" customHeight="true">
      <c r="A8" s="14" t="inlineStr">
        <is>
          <t xml:space="preserve">E03</t>
        </is>
      </c>
      <c r="B8" s="22" t="str">
        <f>INDEX(BOM!$D$9:$D$208,MATCH($A8,BOM!$A$9:$A$208,0))</f>
        <v>Microcontrolador BLE del clip</v>
      </c>
      <c r="C8" s="22" t="str">
        <f>INDEX(BOM!$I$9:$I$208,MATCH($A8,BOM!$A$9:$A$208,0))</f>
        <v>MechatronicStore</v>
      </c>
      <c r="D8" s="16" t="n">
        <v>1</v>
      </c>
      <c r="E8" s="18" t="n">
        <f>INDEX(BOM!$K$9:$K$208,MATCH($A8,BOM!$A$9:$A$208,0))</f>
        <v>9490</v>
      </c>
      <c r="F8" s="18" t="n">
        <f>D8*E8</f>
        <v>9490</v>
      </c>
      <c r="G8" s="22" t="str">
        <f>INDEX(BOM!$J$9:$J$208,MATCH($A8,BOM!$A$9:$A$208,0))</f>
        <v>https://www.mechatronicstore.cl/seeed-studio-xiao-esp32-c3/</v>
      </c>
      <c r="H8" s="15" t="inlineStr">
        <is>
          <t xml:space="preserve">Clip BLE de prueba</t>
        </is>
      </c>
    </row>
    <row r="9" ht="30" customHeight="true">
      <c r="A9" s="14" t="inlineStr">
        <is>
          <t xml:space="preserve">E04</t>
        </is>
      </c>
      <c r="B9" s="22" t="str">
        <f>INDEX(BOM!$D$9:$D$208,MATCH($A9,BOM!$A$9:$A$208,0))</f>
        <v>Batería LiPo del clip</v>
      </c>
      <c r="C9" s="22" t="str">
        <f>INDEX(BOM!$I$9:$I$208,MATCH($A9,BOM!$A$9:$A$208,0))</f>
        <v>HUBOT (buscar)</v>
      </c>
      <c r="D9" s="16" t="n">
        <v>1</v>
      </c>
      <c r="E9" s="18" t="n">
        <f>INDEX(BOM!$K$9:$K$208,MATCH($A9,BOM!$A$9:$A$208,0))</f>
        <v>5000</v>
      </c>
      <c r="F9" s="18" t="n">
        <f>D9*E9</f>
        <v>5000</v>
      </c>
      <c r="G9" s="22" t="str">
        <f>INDEX(BOM!$J$9:$J$208,MATCH($A9,BOM!$A$9:$A$208,0))</f>
        <v>https://hubot.cl/categoria-producto/insumos-y-accesorios/baterias-pilas/</v>
      </c>
      <c r="H9" s="15" t="inlineStr">
        <is>
          <t xml:space="preserve">Batería del clip</t>
        </is>
      </c>
    </row>
    <row r="10" ht="30" customHeight="true">
      <c r="A10" s="14" t="inlineStr">
        <is>
          <t xml:space="preserve">E05</t>
        </is>
      </c>
      <c r="B10" s="22" t="str">
        <f>INDEX(BOM!$D$9:$D$208,MATCH($A10,BOM!$A$9:$A$208,0))</f>
        <v>Sensor ambiental barométrico</v>
      </c>
      <c r="C10" s="22" t="str">
        <f>INDEX(BOM!$I$9:$I$208,MATCH($A10,BOM!$A$9:$A$208,0))</f>
        <v>Afel Electrónica</v>
      </c>
      <c r="D10" s="16" t="n">
        <v>1</v>
      </c>
      <c r="E10" s="18" t="n">
        <f>INDEX(BOM!$K$9:$K$208,MATCH($A10,BOM!$A$9:$A$208,0))</f>
        <v>8650</v>
      </c>
      <c r="F10" s="18" t="n">
        <f>D10*E10</f>
        <v>8650</v>
      </c>
      <c r="G10" s="22" t="str">
        <f>INDEX(BOM!$J$9:$J$208,MATCH($A10,BOM!$A$9:$A$208,0))</f>
        <v>https://afel.cl/products/sensor-barometrico-bme280</v>
      </c>
      <c r="H10" s="15" t="inlineStr">
        <is>
          <t xml:space="preserve">Sensor de clima del tótem de prueba</t>
        </is>
      </c>
    </row>
    <row r="11" ht="30" customHeight="true">
      <c r="A11" s="14" t="inlineStr">
        <is>
          <t xml:space="preserve">E11</t>
        </is>
      </c>
      <c r="B11" s="22" t="str">
        <f>INDEX(BOM!$D$9:$D$208,MATCH($A11,BOM!$A$9:$A$208,0))</f>
        <v>Buzzer del clip</v>
      </c>
      <c r="C11" s="22" t="str">
        <f>INDEX(BOM!$I$9:$I$208,MATCH($A11,BOM!$A$9:$A$208,0))</f>
        <v>AFEL</v>
      </c>
      <c r="D11" s="16" t="n">
        <v>1</v>
      </c>
      <c r="E11" s="18" t="n">
        <f>INDEX(BOM!$K$9:$K$208,MATCH($A11,BOM!$A$9:$A$208,0))</f>
        <v>800</v>
      </c>
      <c r="F11" s="18" t="n">
        <f>D11*E11</f>
        <v>800</v>
      </c>
      <c r="G11" s="22" t="str">
        <f>INDEX(BOM!$J$9:$J$208,MATCH($A11,BOM!$A$9:$A$208,0))</f>
        <v>https://afel.cl/collections/buzzer-zumbador</v>
      </c>
      <c r="H11" s="15" t="inlineStr">
        <is>
          <t xml:space="preserve">Pitido de aviso del clip</t>
        </is>
      </c>
    </row>
    <row r="12" ht="30" customHeight="true">
      <c r="A12" s="14" t="inlineStr">
        <is>
          <t xml:space="preserve">E12</t>
        </is>
      </c>
      <c r="B12" s="22" t="str">
        <f>INDEX(BOM!$D$9:$D$208,MATCH($A12,BOM!$A$9:$A$208,0))</f>
        <v>Interruptor del clip</v>
      </c>
      <c r="C12" s="22" t="str">
        <f>INDEX(BOM!$I$9:$I$208,MATCH($A12,BOM!$A$9:$A$208,0))</f>
        <v>AFEL</v>
      </c>
      <c r="D12" s="16" t="n">
        <v>1</v>
      </c>
      <c r="E12" s="18" t="n">
        <f>INDEX(BOM!$K$9:$K$208,MATCH($A12,BOM!$A$9:$A$208,0))</f>
        <v>500</v>
      </c>
      <c r="F12" s="18" t="n">
        <f>D12*E12</f>
        <v>500</v>
      </c>
      <c r="G12" s="22" t="str">
        <f>INDEX(BOM!$J$9:$J$208,MATCH($A12,BOM!$A$9:$A$208,0))</f>
        <v>https://afel.cl/collections/botones-interruptores</v>
      </c>
      <c r="H12" s="15" t="inlineStr">
        <is>
          <t xml:space="preserve">Encender/apagar el clip</t>
        </is>
      </c>
    </row>
    <row r="13" ht="30" customHeight="true">
      <c r="A13" s="14" t="inlineStr">
        <is>
          <t xml:space="preserve">E17</t>
        </is>
      </c>
      <c r="B13" s="22" t="str">
        <f>INDEX(BOM!$D$9:$D$208,MATCH($A13,BOM!$A$9:$A$208,0))</f>
        <v>Cable USB-C de datos</v>
      </c>
      <c r="C13" s="22" t="str">
        <f>INDEX(BOM!$I$9:$I$208,MATCH($A13,BOM!$A$9:$A$208,0))</f>
        <v>Retail / MercadoLibre</v>
      </c>
      <c r="D13" s="16" t="n">
        <v>1</v>
      </c>
      <c r="E13" s="18" t="n">
        <f>INDEX(BOM!$K$9:$K$208,MATCH($A13,BOM!$A$9:$A$208,0))</f>
        <v>3000</v>
      </c>
      <c r="F13" s="18" t="n">
        <f>D13*E13</f>
        <v>3000</v>
      </c>
      <c r="G13" s="22" t="str">
        <f>INDEX(BOM!$J$9:$J$208,MATCH($A13,BOM!$A$9:$A$208,0))</f>
        <v>Sin enlace verificado</v>
      </c>
      <c r="H13" s="15" t="inlineStr">
        <is>
          <t xml:space="preserve">Conectar la base al PC (omitir si ya tienen un cable de datos)</t>
        </is>
      </c>
    </row>
    <row r="14" ht="30" customHeight="true">
      <c r="A14" s="14" t="inlineStr">
        <is>
          <t xml:space="preserve">M03</t>
        </is>
      </c>
      <c r="B14" s="22" t="str">
        <f>INDEX(BOM!$D$9:$D$208,MATCH($A14,BOM!$A$9:$A$208,0))</f>
        <v>Pinza / clip de sujeción</v>
      </c>
      <c r="C14" s="22" t="str">
        <f>INDEX(BOM!$I$9:$I$208,MATCH($A14,BOM!$A$9:$A$208,0))</f>
        <v>Mercería / ferretería</v>
      </c>
      <c r="D14" s="16" t="n">
        <v>1</v>
      </c>
      <c r="E14" s="18" t="n">
        <f>INDEX(BOM!$K$9:$K$208,MATCH($A14,BOM!$A$9:$A$208,0))</f>
        <v>800</v>
      </c>
      <c r="F14" s="18" t="n">
        <f>D14*E14</f>
        <v>800</v>
      </c>
      <c r="G14" s="22" t="str">
        <f>INDEX(BOM!$J$9:$J$208,MATCH($A14,BOM!$A$9:$A$208,0))</f>
        <v>Sin enlace verificado</v>
      </c>
      <c r="H14" s="15" t="inlineStr">
        <is>
          <t xml:space="preserve">Fijar el clip a la ropa</t>
        </is>
      </c>
    </row>
    <row r="15" ht="30" customHeight="true">
      <c r="A15" s="14" t="inlineStr">
        <is>
          <t xml:space="preserve">M04</t>
        </is>
      </c>
      <c r="B15" s="22" t="str">
        <f>INDEX(BOM!$D$9:$D$208,MATCH($A15,BOM!$A$9:$A$208,0))</f>
        <v>Mini caja plástica para el clip</v>
      </c>
      <c r="C15" s="22" t="str">
        <f>INDEX(BOM!$I$9:$I$208,MATCH($A15,BOM!$A$9:$A$208,0))</f>
        <v>AFEL</v>
      </c>
      <c r="D15" s="16" t="n">
        <v>1</v>
      </c>
      <c r="E15" s="18" t="n">
        <f>INDEX(BOM!$K$9:$K$208,MATCH($A15,BOM!$A$9:$A$208,0))</f>
        <v>1500</v>
      </c>
      <c r="F15" s="18" t="n">
        <f>D15*E15</f>
        <v>1500</v>
      </c>
      <c r="G15" s="22" t="str">
        <f>INDEX(BOM!$J$9:$J$208,MATCH($A15,BOM!$A$9:$A$208,0))</f>
        <v>https://afel.cl/collections/cajas-proyectos</v>
      </c>
      <c r="H15" s="15" t="inlineStr">
        <is>
          <t xml:space="preserve">Carcasa del clip</t>
        </is>
      </c>
    </row>
    <row r="16" ht="30" customHeight="true">
      <c r="A16" s="14" t="inlineStr">
        <is>
          <t xml:space="preserve">A01</t>
        </is>
      </c>
      <c r="B16" s="22" t="str">
        <f>INDEX(BOM!$D$9:$D$208,MATCH($A16,BOM!$A$9:$A$208,0))</f>
        <v>Cables Dupont</v>
      </c>
      <c r="C16" s="22" t="str">
        <f>INDEX(BOM!$I$9:$I$208,MATCH($A16,BOM!$A$9:$A$208,0))</f>
        <v>AFEL</v>
      </c>
      <c r="D16" s="16" t="n">
        <v>1</v>
      </c>
      <c r="E16" s="18" t="n">
        <f>INDEX(BOM!$K$9:$K$208,MATCH($A16,BOM!$A$9:$A$208,0))</f>
        <v>2500</v>
      </c>
      <c r="F16" s="18" t="n">
        <f>D16*E16</f>
        <v>2500</v>
      </c>
      <c r="G16" s="22" t="str">
        <f>INDEX(BOM!$J$9:$J$208,MATCH($A16,BOM!$A$9:$A$208,0))</f>
        <v>https://afel.cl/collections/cables</v>
      </c>
      <c r="H16" s="15" t="inlineStr">
        <is>
          <t xml:space="preserve">Pruebas en protoboard, sin soldar</t>
        </is>
      </c>
    </row>
    <row r="17">
      <c r="A17" s="28" t="inlineStr">
        <is>
          <t xml:space="preserve">Total fase 1</t>
        </is>
      </c>
      <c r="F17" s="30" t="n">
        <f>SUM(F6:F16)</f>
        <v>108400</v>
      </c>
    </row>
    <row r="19" ht="16" customHeight="true">
      <c r="A19" s="3" t="inlineStr">
        <is>
          <t xml:space="preserve">FASE 2 · Comprar después (solo si la fase 1 funciona)</t>
        </is>
      </c>
    </row>
    <row r="20" ht="30" customHeight="true">
      <c r="A20" s="13" t="inlineStr">
        <is>
          <t xml:space="preserve">ID</t>
        </is>
      </c>
      <c r="B20" s="13" t="inlineStr">
        <is>
          <t xml:space="preserve">Componente</t>
        </is>
      </c>
      <c r="C20" s="13" t="inlineStr">
        <is>
          <t xml:space="preserve">Proveedor</t>
        </is>
      </c>
      <c r="D20" s="13" t="inlineStr">
        <is>
          <t xml:space="preserve">Cant.</t>
        </is>
      </c>
      <c r="E20" s="13" t="inlineStr">
        <is>
          <t xml:space="preserve">$ Unit. (CLP)</t>
        </is>
      </c>
      <c r="F20" s="13" t="inlineStr">
        <is>
          <t xml:space="preserve">$ Subtotal (CLP)</t>
        </is>
      </c>
      <c r="G20" s="13" t="inlineStr">
        <is>
          <t xml:space="preserve">Enlace (tienda o datasheet)</t>
        </is>
      </c>
      <c r="H20" s="13" t="inlineStr">
        <is>
          <t xml:space="preserve">Para qué / cuándo</t>
        </is>
      </c>
    </row>
    <row r="21" ht="30" customHeight="true">
      <c r="A21" s="14" t="inlineStr">
        <is>
          <t xml:space="preserve">E01</t>
        </is>
      </c>
      <c r="B21" s="22" t="str">
        <f>INDEX(BOM!$D$9:$D$208,MATCH($A21,BOM!$A$9:$A$208,0))</f>
        <v>Microcontrolador LoRa del tótem</v>
      </c>
      <c r="C21" s="22" t="str">
        <f>INDEX(BOM!$I$9:$I$208,MATCH($A21,BOM!$A$9:$A$208,0))</f>
        <v>Zona Industrial</v>
      </c>
      <c r="D21" s="19" t="n">
        <f>INDEX(BOM!$G$9:$G$208,MATCH($A21,BOM!$A$9:$A$208,0))-SUMIF($A$6:$A$16,$A21,$D$6:$D$16)</f>
        <v>1</v>
      </c>
      <c r="E21" s="18" t="n">
        <f>INDEX(BOM!$K$9:$K$208,MATCH($A21,BOM!$A$9:$A$208,0))</f>
        <v>38080</v>
      </c>
      <c r="F21" s="18" t="n">
        <f>D21*E21</f>
        <v>38080</v>
      </c>
      <c r="G21" s="22" t="str">
        <f>INDEX(BOM!$J$9:$J$208,MATCH($A21,BOM!$A$9:$A$208,0))</f>
        <v>https://www.zonaindustrial.cl/shop/heltec-wi-fi-lora-32-v3-meshtastic-con-carcasa-y-antena-57777</v>
      </c>
      <c r="H21" s="15" t="inlineStr">
        <is>
          <t xml:space="preserve">Segundo tótem</t>
        </is>
      </c>
    </row>
    <row r="22" ht="30" customHeight="true">
      <c r="A22" s="14" t="inlineStr">
        <is>
          <t xml:space="preserve">E03</t>
        </is>
      </c>
      <c r="B22" s="22" t="str">
        <f>INDEX(BOM!$D$9:$D$208,MATCH($A22,BOM!$A$9:$A$208,0))</f>
        <v>Microcontrolador BLE del clip</v>
      </c>
      <c r="C22" s="22" t="str">
        <f>INDEX(BOM!$I$9:$I$208,MATCH($A22,BOM!$A$9:$A$208,0))</f>
        <v>MechatronicStore</v>
      </c>
      <c r="D22" s="19" t="n">
        <f>INDEX(BOM!$G$9:$G$208,MATCH($A22,BOM!$A$9:$A$208,0))-SUMIF($A$6:$A$16,$A22,$D$6:$D$16)</f>
        <v>2</v>
      </c>
      <c r="E22" s="18" t="n">
        <f>INDEX(BOM!$K$9:$K$208,MATCH($A22,BOM!$A$9:$A$208,0))</f>
        <v>9490</v>
      </c>
      <c r="F22" s="18" t="n">
        <f>D22*E22</f>
        <v>18980</v>
      </c>
      <c r="G22" s="22" t="str">
        <f>INDEX(BOM!$J$9:$J$208,MATCH($A22,BOM!$A$9:$A$208,0))</f>
        <v>https://www.mechatronicstore.cl/seeed-studio-xiao-esp32-c3/</v>
      </c>
      <c r="H22" s="15" t="inlineStr">
        <is>
          <t xml:space="preserve">Clips 2 y 3</t>
        </is>
      </c>
    </row>
    <row r="23" ht="30" customHeight="true">
      <c r="A23" s="14" t="inlineStr">
        <is>
          <t xml:space="preserve">E04</t>
        </is>
      </c>
      <c r="B23" s="22" t="str">
        <f>INDEX(BOM!$D$9:$D$208,MATCH($A23,BOM!$A$9:$A$208,0))</f>
        <v>Batería LiPo del clip</v>
      </c>
      <c r="C23" s="22" t="str">
        <f>INDEX(BOM!$I$9:$I$208,MATCH($A23,BOM!$A$9:$A$208,0))</f>
        <v>HUBOT (buscar)</v>
      </c>
      <c r="D23" s="19" t="n">
        <f>INDEX(BOM!$G$9:$G$208,MATCH($A23,BOM!$A$9:$A$208,0))-SUMIF($A$6:$A$16,$A23,$D$6:$D$16)</f>
        <v>2</v>
      </c>
      <c r="E23" s="18" t="n">
        <f>INDEX(BOM!$K$9:$K$208,MATCH($A23,BOM!$A$9:$A$208,0))</f>
        <v>5000</v>
      </c>
      <c r="F23" s="18" t="n">
        <f>D23*E23</f>
        <v>10000</v>
      </c>
      <c r="G23" s="22" t="str">
        <f>INDEX(BOM!$J$9:$J$208,MATCH($A23,BOM!$A$9:$A$208,0))</f>
        <v>https://hubot.cl/categoria-producto/insumos-y-accesorios/baterias-pilas/</v>
      </c>
      <c r="H23" s="15" t="inlineStr">
        <is>
          <t xml:space="preserve">Baterías de los clips 2 y 3</t>
        </is>
      </c>
    </row>
    <row r="24" ht="30" customHeight="true">
      <c r="A24" s="14" t="inlineStr">
        <is>
          <t xml:space="preserve">E05</t>
        </is>
      </c>
      <c r="B24" s="22" t="str">
        <f>INDEX(BOM!$D$9:$D$208,MATCH($A24,BOM!$A$9:$A$208,0))</f>
        <v>Sensor ambiental barométrico</v>
      </c>
      <c r="C24" s="22" t="str">
        <f>INDEX(BOM!$I$9:$I$208,MATCH($A24,BOM!$A$9:$A$208,0))</f>
        <v>Afel Electrónica</v>
      </c>
      <c r="D24" s="19" t="n">
        <f>INDEX(BOM!$G$9:$G$208,MATCH($A24,BOM!$A$9:$A$208,0))-SUMIF($A$6:$A$16,$A24,$D$6:$D$16)</f>
        <v>1</v>
      </c>
      <c r="E24" s="18" t="n">
        <f>INDEX(BOM!$K$9:$K$208,MATCH($A24,BOM!$A$9:$A$208,0))</f>
        <v>8650</v>
      </c>
      <c r="F24" s="18" t="n">
        <f>D24*E24</f>
        <v>8650</v>
      </c>
      <c r="G24" s="22" t="str">
        <f>INDEX(BOM!$J$9:$J$208,MATCH($A24,BOM!$A$9:$A$208,0))</f>
        <v>https://afel.cl/products/sensor-barometrico-bme280</v>
      </c>
      <c r="H24" s="15" t="inlineStr">
        <is>
          <t xml:space="preserve">Sensor del segundo tótem</t>
        </is>
      </c>
    </row>
    <row r="25" ht="30" customHeight="true">
      <c r="A25" s="14" t="inlineStr">
        <is>
          <t xml:space="preserve">E06</t>
        </is>
      </c>
      <c r="B25" s="22" t="str">
        <f>INDEX(BOM!$D$9:$D$208,MATCH($A25,BOM!$A$9:$A$208,0))</f>
        <v>Reloj de tiempo real (RTC)</v>
      </c>
      <c r="C25" s="22" t="str">
        <f>INDEX(BOM!$I$9:$I$208,MATCH($A25,BOM!$A$9:$A$208,0))</f>
        <v>AFEL</v>
      </c>
      <c r="D25" s="19" t="n">
        <f>INDEX(BOM!$G$9:$G$208,MATCH($A25,BOM!$A$9:$A$208,0))-SUMIF($A$6:$A$16,$A25,$D$6:$D$16)</f>
        <v>2</v>
      </c>
      <c r="E25" s="18" t="n">
        <f>INDEX(BOM!$K$9:$K$208,MATCH($A25,BOM!$A$9:$A$208,0))</f>
        <v>3500</v>
      </c>
      <c r="F25" s="18" t="n">
        <f>D25*E25</f>
        <v>7000</v>
      </c>
      <c r="G25" s="22" t="str">
        <f>INDEX(BOM!$J$9:$J$208,MATCH($A25,BOM!$A$9:$A$208,0))</f>
        <v>https://afel.cl/collections/rtc</v>
      </c>
      <c r="H25" s="15" t="inlineStr">
        <is>
          <t xml:space="preserve">Electrónica completa del tótem</t>
        </is>
      </c>
    </row>
    <row r="26" ht="30" customHeight="true">
      <c r="A26" s="14" t="inlineStr">
        <is>
          <t xml:space="preserve">E07</t>
        </is>
      </c>
      <c r="B26" s="22" t="str">
        <f>INDEX(BOM!$D$9:$D$208,MATCH($A26,BOM!$A$9:$A$208,0))</f>
        <v>Pulsador SOS del tótem</v>
      </c>
      <c r="C26" s="22" t="str">
        <f>INDEX(BOM!$I$9:$I$208,MATCH($A26,BOM!$A$9:$A$208,0))</f>
        <v>Zona Industrial</v>
      </c>
      <c r="D26" s="19" t="n">
        <f>INDEX(BOM!$G$9:$G$208,MATCH($A26,BOM!$A$9:$A$208,0))-SUMIF($A$6:$A$16,$A26,$D$6:$D$16)</f>
        <v>2</v>
      </c>
      <c r="E26" s="18" t="n">
        <f>INDEX(BOM!$K$9:$K$208,MATCH($A26,BOM!$A$9:$A$208,0))</f>
        <v>5000</v>
      </c>
      <c r="F26" s="18" t="n">
        <f>D26*E26</f>
        <v>10000</v>
      </c>
      <c r="G26" s="22" t="str">
        <f>INDEX(BOM!$J$9:$J$208,MATCH($A26,BOM!$A$9:$A$208,0))</f>
        <v>https://www.zonaindustrial.cl/shop/category/4324</v>
      </c>
      <c r="H26" s="15" t="inlineStr">
        <is>
          <t xml:space="preserve">Electrónica completa del tótem</t>
        </is>
      </c>
    </row>
    <row r="27" ht="30" customHeight="true">
      <c r="A27" s="14" t="inlineStr">
        <is>
          <t xml:space="preserve">E08</t>
        </is>
      </c>
      <c r="B27" s="22" t="str">
        <f>INDEX(BOM!$D$9:$D$208,MATCH($A27,BOM!$A$9:$A$208,0))</f>
        <v>LED RGB de estado + resistencias</v>
      </c>
      <c r="C27" s="22" t="str">
        <f>INDEX(BOM!$I$9:$I$208,MATCH($A27,BOM!$A$9:$A$208,0))</f>
        <v>AFEL</v>
      </c>
      <c r="D27" s="19" t="n">
        <f>INDEX(BOM!$G$9:$G$208,MATCH($A27,BOM!$A$9:$A$208,0))-SUMIF($A$6:$A$16,$A27,$D$6:$D$16)</f>
        <v>2</v>
      </c>
      <c r="E27" s="18" t="n">
        <f>INDEX(BOM!$K$9:$K$208,MATCH($A27,BOM!$A$9:$A$208,0))</f>
        <v>1500</v>
      </c>
      <c r="F27" s="18" t="n">
        <f>D27*E27</f>
        <v>3000</v>
      </c>
      <c r="G27" s="22" t="str">
        <f>INDEX(BOM!$J$9:$J$208,MATCH($A27,BOM!$A$9:$A$208,0))</f>
        <v>https://afel.cl/collections/leds</v>
      </c>
      <c r="H27" s="15" t="inlineStr">
        <is>
          <t xml:space="preserve">Electrónica completa del tótem</t>
        </is>
      </c>
    </row>
    <row r="28" ht="30" customHeight="true">
      <c r="A28" s="14" t="inlineStr">
        <is>
          <t xml:space="preserve">E09</t>
        </is>
      </c>
      <c r="B28" s="22" t="str">
        <f>INDEX(BOM!$D$9:$D$208,MATCH($A28,BOM!$A$9:$A$208,0))</f>
        <v>Buzzer del tótem (alto volumen)</v>
      </c>
      <c r="C28" s="22" t="str">
        <f>INDEX(BOM!$I$9:$I$208,MATCH($A28,BOM!$A$9:$A$208,0))</f>
        <v>AFEL</v>
      </c>
      <c r="D28" s="19" t="n">
        <f>INDEX(BOM!$G$9:$G$208,MATCH($A28,BOM!$A$9:$A$208,0))-SUMIF($A$6:$A$16,$A28,$D$6:$D$16)</f>
        <v>2</v>
      </c>
      <c r="E28" s="18" t="n">
        <f>INDEX(BOM!$K$9:$K$208,MATCH($A28,BOM!$A$9:$A$208,0))</f>
        <v>1500</v>
      </c>
      <c r="F28" s="18" t="n">
        <f>D28*E28</f>
        <v>3000</v>
      </c>
      <c r="G28" s="22" t="str">
        <f>INDEX(BOM!$J$9:$J$208,MATCH($A28,BOM!$A$9:$A$208,0))</f>
        <v>https://afel.cl/collections/buzzer-zumbador</v>
      </c>
      <c r="H28" s="15" t="inlineStr">
        <is>
          <t xml:space="preserve">Electrónica completa del tótem</t>
        </is>
      </c>
    </row>
    <row r="29" ht="30" customHeight="true">
      <c r="A29" s="14" t="inlineStr">
        <is>
          <t xml:space="preserve">E10</t>
        </is>
      </c>
      <c r="B29" s="22" t="str">
        <f>INDEX(BOM!$D$9:$D$208,MATCH($A29,BOM!$A$9:$A$208,0))</f>
        <v>Transistores / módulo MOSFET</v>
      </c>
      <c r="C29" s="22" t="str">
        <f>INDEX(BOM!$I$9:$I$208,MATCH($A29,BOM!$A$9:$A$208,0))</f>
        <v>AFEL</v>
      </c>
      <c r="D29" s="19" t="n">
        <f>INDEX(BOM!$G$9:$G$208,MATCH($A29,BOM!$A$9:$A$208,0))-SUMIF($A$6:$A$16,$A29,$D$6:$D$16)</f>
        <v>2</v>
      </c>
      <c r="E29" s="18" t="n">
        <f>INDEX(BOM!$K$9:$K$208,MATCH($A29,BOM!$A$9:$A$208,0))</f>
        <v>1500</v>
      </c>
      <c r="F29" s="18" t="n">
        <f>D29*E29</f>
        <v>3000</v>
      </c>
      <c r="G29" s="22" t="str">
        <f>INDEX(BOM!$J$9:$J$208,MATCH($A29,BOM!$A$9:$A$208,0))</f>
        <v>https://afel.cl/collections/mosfet</v>
      </c>
      <c r="H29" s="15" t="inlineStr">
        <is>
          <t xml:space="preserve">Electrónica completa del tótem</t>
        </is>
      </c>
    </row>
    <row r="30" ht="30" customHeight="true">
      <c r="A30" s="14" t="inlineStr">
        <is>
          <t xml:space="preserve">E11</t>
        </is>
      </c>
      <c r="B30" s="22" t="str">
        <f>INDEX(BOM!$D$9:$D$208,MATCH($A30,BOM!$A$9:$A$208,0))</f>
        <v>Buzzer del clip</v>
      </c>
      <c r="C30" s="22" t="str">
        <f>INDEX(BOM!$I$9:$I$208,MATCH($A30,BOM!$A$9:$A$208,0))</f>
        <v>AFEL</v>
      </c>
      <c r="D30" s="19" t="n">
        <f>INDEX(BOM!$G$9:$G$208,MATCH($A30,BOM!$A$9:$A$208,0))-SUMIF($A$6:$A$16,$A30,$D$6:$D$16)</f>
        <v>2</v>
      </c>
      <c r="E30" s="18" t="n">
        <f>INDEX(BOM!$K$9:$K$208,MATCH($A30,BOM!$A$9:$A$208,0))</f>
        <v>800</v>
      </c>
      <c r="F30" s="18" t="n">
        <f>D30*E30</f>
        <v>1600</v>
      </c>
      <c r="G30" s="22" t="str">
        <f>INDEX(BOM!$J$9:$J$208,MATCH($A30,BOM!$A$9:$A$208,0))</f>
        <v>https://afel.cl/collections/buzzer-zumbador</v>
      </c>
      <c r="H30" s="15" t="inlineStr">
        <is>
          <t xml:space="preserve">Pitido de los clips 2 y 3</t>
        </is>
      </c>
    </row>
    <row r="31" ht="30" customHeight="true">
      <c r="A31" s="14" t="inlineStr">
        <is>
          <t xml:space="preserve">E12</t>
        </is>
      </c>
      <c r="B31" s="22" t="str">
        <f>INDEX(BOM!$D$9:$D$208,MATCH($A31,BOM!$A$9:$A$208,0))</f>
        <v>Interruptor del clip</v>
      </c>
      <c r="C31" s="22" t="str">
        <f>INDEX(BOM!$I$9:$I$208,MATCH($A31,BOM!$A$9:$A$208,0))</f>
        <v>AFEL</v>
      </c>
      <c r="D31" s="19" t="n">
        <f>INDEX(BOM!$G$9:$G$208,MATCH($A31,BOM!$A$9:$A$208,0))-SUMIF($A$6:$A$16,$A31,$D$6:$D$16)</f>
        <v>2</v>
      </c>
      <c r="E31" s="18" t="n">
        <f>INDEX(BOM!$K$9:$K$208,MATCH($A31,BOM!$A$9:$A$208,0))</f>
        <v>500</v>
      </c>
      <c r="F31" s="18" t="n">
        <f>D31*E31</f>
        <v>1000</v>
      </c>
      <c r="G31" s="22" t="str">
        <f>INDEX(BOM!$J$9:$J$208,MATCH($A31,BOM!$A$9:$A$208,0))</f>
        <v>https://afel.cl/collections/botones-interruptores</v>
      </c>
      <c r="H31" s="15" t="inlineStr">
        <is>
          <t xml:space="preserve">Interruptor de los clips 2 y 3</t>
        </is>
      </c>
    </row>
    <row r="32" ht="30" customHeight="true">
      <c r="A32" s="14" t="inlineStr">
        <is>
          <t xml:space="preserve">E13</t>
        </is>
      </c>
      <c r="B32" s="22" t="str">
        <f>INDEX(BOM!$D$9:$D$208,MATCH($A32,BOM!$A$9:$A$208,0))</f>
        <v>Antena LoRa 915 MHz (tótem)</v>
      </c>
      <c r="C32" s="22" t="str">
        <f>INDEX(BOM!$I$9:$I$208,MATCH($A32,BOM!$A$9:$A$208,0))</f>
        <v>HUBOT</v>
      </c>
      <c r="D32" s="19" t="n">
        <f>INDEX(BOM!$G$9:$G$208,MATCH($A32,BOM!$A$9:$A$208,0))-SUMIF($A$6:$A$16,$A32,$D$6:$D$16)</f>
        <v>2</v>
      </c>
      <c r="E32" s="18" t="n">
        <f>INDEX(BOM!$K$9:$K$208,MATCH($A32,BOM!$A$9:$A$208,0))</f>
        <v>4990</v>
      </c>
      <c r="F32" s="18" t="n">
        <f>D32*E32</f>
        <v>9980</v>
      </c>
      <c r="G32" s="22" t="str">
        <f>INDEX(BOM!$J$9:$J$208,MATCH($A32,BOM!$A$9:$A$208,0))</f>
        <v>https://hubot.cl/producto/antena-915mhz-2-5dbi-sma-lora-lorawan/</v>
      </c>
      <c r="H32" s="15" t="inlineStr">
        <is>
          <t xml:space="preserve">Solo si el alcance con la antena incluida en la Heltec no basta</t>
        </is>
      </c>
    </row>
    <row r="33" ht="30" customHeight="true">
      <c r="A33" s="14" t="inlineStr">
        <is>
          <t xml:space="preserve">E14</t>
        </is>
      </c>
      <c r="B33" s="22" t="str">
        <f>INDEX(BOM!$D$9:$D$208,MATCH($A33,BOM!$A$9:$A$208,0))</f>
        <v>Pigtail U.FL (IPEX) a SMA (tótem)</v>
      </c>
      <c r="C33" s="22" t="str">
        <f>INDEX(BOM!$I$9:$I$208,MATCH($A33,BOM!$A$9:$A$208,0))</f>
        <v>AFEL</v>
      </c>
      <c r="D33" s="19" t="n">
        <f>INDEX(BOM!$G$9:$G$208,MATCH($A33,BOM!$A$9:$A$208,0))-SUMIF($A$6:$A$16,$A33,$D$6:$D$16)</f>
        <v>2</v>
      </c>
      <c r="E33" s="18" t="n">
        <f>INDEX(BOM!$K$9:$K$208,MATCH($A33,BOM!$A$9:$A$208,0))</f>
        <v>2500</v>
      </c>
      <c r="F33" s="18" t="n">
        <f>D33*E33</f>
        <v>5000</v>
      </c>
      <c r="G33" s="22" t="str">
        <f>INDEX(BOM!$J$9:$J$208,MATCH($A33,BOM!$A$9:$A$208,0))</f>
        <v>https://afel.cl/collections/antenas</v>
      </c>
      <c r="H33" s="15" t="inlineStr">
        <is>
          <t xml:space="preserve">Solo si el alcance con la antena incluida en la Heltec no basta</t>
        </is>
      </c>
    </row>
    <row r="34" ht="30" customHeight="true">
      <c r="A34" s="14" t="inlineStr">
        <is>
          <t xml:space="preserve">E15</t>
        </is>
      </c>
      <c r="B34" s="22" t="str">
        <f>INDEX(BOM!$D$9:$D$208,MATCH($A34,BOM!$A$9:$A$208,0))</f>
        <v>Antena LoRa 915 MHz (base)</v>
      </c>
      <c r="C34" s="22" t="str">
        <f>INDEX(BOM!$I$9:$I$208,MATCH($A34,BOM!$A$9:$A$208,0))</f>
        <v>HUBOT</v>
      </c>
      <c r="D34" s="19" t="n">
        <f>INDEX(BOM!$G$9:$G$208,MATCH($A34,BOM!$A$9:$A$208,0))-SUMIF($A$6:$A$16,$A34,$D$6:$D$16)</f>
        <v>1</v>
      </c>
      <c r="E34" s="18" t="n">
        <f>INDEX(BOM!$K$9:$K$208,MATCH($A34,BOM!$A$9:$A$208,0))</f>
        <v>4990</v>
      </c>
      <c r="F34" s="18" t="n">
        <f>D34*E34</f>
        <v>4990</v>
      </c>
      <c r="G34" s="22" t="str">
        <f>INDEX(BOM!$J$9:$J$208,MATCH($A34,BOM!$A$9:$A$208,0))</f>
        <v>https://hubot.cl/producto/antena-915mhz-2-5dbi-sma-lora-lorawan/</v>
      </c>
      <c r="H34" s="15" t="inlineStr">
        <is>
          <t xml:space="preserve">Solo si el alcance con la antena incluida en la Heltec no basta</t>
        </is>
      </c>
    </row>
    <row r="35" ht="30" customHeight="true">
      <c r="A35" s="14" t="inlineStr">
        <is>
          <t xml:space="preserve">E16</t>
        </is>
      </c>
      <c r="B35" s="22" t="str">
        <f>INDEX(BOM!$D$9:$D$208,MATCH($A35,BOM!$A$9:$A$208,0))</f>
        <v>Pigtail U.FL (IPEX) a SMA (base)</v>
      </c>
      <c r="C35" s="22" t="str">
        <f>INDEX(BOM!$I$9:$I$208,MATCH($A35,BOM!$A$9:$A$208,0))</f>
        <v>AFEL</v>
      </c>
      <c r="D35" s="19" t="n">
        <f>INDEX(BOM!$G$9:$G$208,MATCH($A35,BOM!$A$9:$A$208,0))-SUMIF($A$6:$A$16,$A35,$D$6:$D$16)</f>
        <v>1</v>
      </c>
      <c r="E35" s="18" t="n">
        <f>INDEX(BOM!$K$9:$K$208,MATCH($A35,BOM!$A$9:$A$208,0))</f>
        <v>2500</v>
      </c>
      <c r="F35" s="18" t="n">
        <f>D35*E35</f>
        <v>2500</v>
      </c>
      <c r="G35" s="22" t="str">
        <f>INDEX(BOM!$J$9:$J$208,MATCH($A35,BOM!$A$9:$A$208,0))</f>
        <v>https://afel.cl/collections/antenas</v>
      </c>
      <c r="H35" s="15" t="inlineStr">
        <is>
          <t xml:space="preserve">Solo si el alcance con la antena incluida en la Heltec no basta</t>
        </is>
      </c>
    </row>
    <row r="36" ht="30" customHeight="true">
      <c r="A36" s="14" t="inlineStr">
        <is>
          <t xml:space="preserve">E18</t>
        </is>
      </c>
      <c r="B36" s="22" t="str">
        <f>INDEX(BOM!$D$9:$D$208,MATCH($A36,BOM!$A$9:$A$208,0))</f>
        <v>Panel solar 20 W 12 V</v>
      </c>
      <c r="C36" s="22" t="str">
        <f>INDEX(BOM!$I$9:$I$208,MATCH($A36,BOM!$A$9:$A$208,0))</f>
        <v>Impotec</v>
      </c>
      <c r="D36" s="19" t="n">
        <f>INDEX(BOM!$G$9:$G$208,MATCH($A36,BOM!$A$9:$A$208,0))-SUMIF($A$6:$A$16,$A36,$D$6:$D$16)</f>
        <v>2</v>
      </c>
      <c r="E36" s="18" t="n">
        <f>INDEX(BOM!$K$9:$K$208,MATCH($A36,BOM!$A$9:$A$208,0))</f>
        <v>24990</v>
      </c>
      <c r="F36" s="18" t="n">
        <f>D36*E36</f>
        <v>49980</v>
      </c>
      <c r="G36" s="22" t="str">
        <f>INDEX(BOM!$J$9:$J$208,MATCH($A36,BOM!$A$9:$A$208,0))</f>
        <v>https://www.impotec.cl/product/panel-solar-monocristalino-20w-12v</v>
      </c>
      <c r="H36" s="15" t="inlineStr">
        <is>
          <t xml:space="preserve">Cadena solar: solo si la fase 1 funciona</t>
        </is>
      </c>
    </row>
    <row r="37" ht="30" customHeight="true">
      <c r="A37" s="14" t="inlineStr">
        <is>
          <t xml:space="preserve">E19</t>
        </is>
      </c>
      <c r="B37" s="22" t="str">
        <f>INDEX(BOM!$D$9:$D$208,MATCH($A37,BOM!$A$9:$A$208,0))</f>
        <v>Controlador de carga solar PWM</v>
      </c>
      <c r="C37" s="22" t="str">
        <f>INDEX(BOM!$I$9:$I$208,MATCH($A37,BOM!$A$9:$A$208,0))</f>
        <v>MechatronicStore</v>
      </c>
      <c r="D37" s="19" t="n">
        <f>INDEX(BOM!$G$9:$G$208,MATCH($A37,BOM!$A$9:$A$208,0))-SUMIF($A$6:$A$16,$A37,$D$6:$D$16)</f>
        <v>2</v>
      </c>
      <c r="E37" s="18" t="n">
        <f>INDEX(BOM!$K$9:$K$208,MATCH($A37,BOM!$A$9:$A$208,0))</f>
        <v>8990</v>
      </c>
      <c r="F37" s="18" t="n">
        <f>D37*E37</f>
        <v>17980</v>
      </c>
      <c r="G37" s="22" t="str">
        <f>INDEX(BOM!$J$9:$J$208,MATCH($A37,BOM!$A$9:$A$208,0))</f>
        <v>https://www.mechatronicstore.cl/controlador-de-carga-inteligente-para-panel-solar-12-24v-10a/</v>
      </c>
      <c r="H37" s="15" t="inlineStr">
        <is>
          <t xml:space="preserve">Cadena solar: solo si la fase 1 funciona</t>
        </is>
      </c>
    </row>
    <row r="38" ht="30" customHeight="true">
      <c r="A38" s="14" t="inlineStr">
        <is>
          <t xml:space="preserve">E20</t>
        </is>
      </c>
      <c r="B38" s="22" t="str">
        <f>INDEX(BOM!$D$9:$D$208,MATCH($A38,BOM!$A$9:$A$208,0))</f>
        <v>Batería AGM 12 V 7 Ah</v>
      </c>
      <c r="C38" s="22" t="str">
        <f>INDEX(BOM!$I$9:$I$208,MATCH($A38,BOM!$A$9:$A$208,0))</f>
        <v>CompraTecno</v>
      </c>
      <c r="D38" s="19" t="n">
        <f>INDEX(BOM!$G$9:$G$208,MATCH($A38,BOM!$A$9:$A$208,0))-SUMIF($A$6:$A$16,$A38,$D$6:$D$16)</f>
        <v>2</v>
      </c>
      <c r="E38" s="18" t="n">
        <f>INDEX(BOM!$K$9:$K$208,MATCH($A38,BOM!$A$9:$A$208,0))</f>
        <v>14657</v>
      </c>
      <c r="F38" s="18" t="n">
        <f>D38*E38</f>
        <v>29314</v>
      </c>
      <c r="G38" s="22" t="str">
        <f>INDEX(BOM!$J$9:$J$208,MATCH($A38,BOM!$A$9:$A$208,0))</f>
        <v>https://compratecno.cl/baterias/1767-bta12-72u.html</v>
      </c>
      <c r="H38" s="15" t="inlineStr">
        <is>
          <t xml:space="preserve">Cadena solar: solo si la fase 1 funciona</t>
        </is>
      </c>
    </row>
    <row r="39" ht="30" customHeight="true">
      <c r="A39" s="14" t="inlineStr">
        <is>
          <t xml:space="preserve">E21</t>
        </is>
      </c>
      <c r="B39" s="22" t="str">
        <f>INDEX(BOM!$D$9:$D$208,MATCH($A39,BOM!$A$9:$A$208,0))</f>
        <v>Convertidor step-down 12 V→5 V</v>
      </c>
      <c r="C39" s="22" t="str">
        <f>INDEX(BOM!$I$9:$I$208,MATCH($A39,BOM!$A$9:$A$208,0))</f>
        <v>AFEL</v>
      </c>
      <c r="D39" s="19" t="n">
        <f>INDEX(BOM!$G$9:$G$208,MATCH($A39,BOM!$A$9:$A$208,0))-SUMIF($A$6:$A$16,$A39,$D$6:$D$16)</f>
        <v>2</v>
      </c>
      <c r="E39" s="18" t="n">
        <f>INDEX(BOM!$K$9:$K$208,MATCH($A39,BOM!$A$9:$A$208,0))</f>
        <v>2500</v>
      </c>
      <c r="F39" s="18" t="n">
        <f>D39*E39</f>
        <v>5000</v>
      </c>
      <c r="G39" s="22" t="str">
        <f>INDEX(BOM!$J$9:$J$208,MATCH($A39,BOM!$A$9:$A$208,0))</f>
        <v>https://afel.cl/collections/step-down-dc</v>
      </c>
      <c r="H39" s="15" t="inlineStr">
        <is>
          <t xml:space="preserve">Cadena solar: solo si la fase 1 funciona</t>
        </is>
      </c>
    </row>
    <row r="40" ht="30" customHeight="true">
      <c r="A40" s="14" t="inlineStr">
        <is>
          <t xml:space="preserve">E22</t>
        </is>
      </c>
      <c r="B40" s="22" t="str">
        <f>INDEX(BOM!$D$9:$D$208,MATCH($A40,BOM!$A$9:$A$208,0))</f>
        <v>Portafusible + fusible 5 A</v>
      </c>
      <c r="C40" s="22" t="str">
        <f>INDEX(BOM!$I$9:$I$208,MATCH($A40,BOM!$A$9:$A$208,0))</f>
        <v>Zona Industrial</v>
      </c>
      <c r="D40" s="19" t="n">
        <f>INDEX(BOM!$G$9:$G$208,MATCH($A40,BOM!$A$9:$A$208,0))-SUMIF($A$6:$A$16,$A40,$D$6:$D$16)</f>
        <v>2</v>
      </c>
      <c r="E40" s="18" t="n">
        <f>INDEX(BOM!$K$9:$K$208,MATCH($A40,BOM!$A$9:$A$208,0))</f>
        <v>2500</v>
      </c>
      <c r="F40" s="18" t="n">
        <f>D40*E40</f>
        <v>5000</v>
      </c>
      <c r="G40" s="22" t="str">
        <f>INDEX(BOM!$J$9:$J$208,MATCH($A40,BOM!$A$9:$A$208,0))</f>
        <v>https://www.zonaindustrial.cl/shop/category/6477</v>
      </c>
      <c r="H40" s="15" t="inlineStr">
        <is>
          <t xml:space="preserve">Cadena solar: solo si la fase 1 funciona</t>
        </is>
      </c>
    </row>
    <row r="41" ht="30" customHeight="true">
      <c r="A41" s="14" t="inlineStr">
        <is>
          <t xml:space="preserve">M01</t>
        </is>
      </c>
      <c r="B41" s="22" t="str">
        <f>INDEX(BOM!$D$9:$D$208,MATCH($A41,BOM!$A$9:$A$208,0))</f>
        <v>Estructura vertical poste</v>
      </c>
      <c r="C41" s="22" t="str">
        <f>INDEX(BOM!$I$9:$I$208,MATCH($A41,BOM!$A$9:$A$208,0))</f>
        <v>Sodimac Homecenter</v>
      </c>
      <c r="D41" s="19" t="n">
        <f>INDEX(BOM!$G$9:$G$208,MATCH($A41,BOM!$A$9:$A$208,0))-SUMIF($A$6:$A$16,$A41,$D$6:$D$16)</f>
        <v>2</v>
      </c>
      <c r="E41" s="18" t="n">
        <f>INDEX(BOM!$K$9:$K$208,MATCH($A41,BOM!$A$9:$A$208,0))</f>
        <v>14990</v>
      </c>
      <c r="F41" s="18" t="n">
        <f>D41*E41</f>
        <v>29980</v>
      </c>
      <c r="G41" s="22" t="str">
        <f>INDEX(BOM!$J$9:$J$208,MATCH($A41,BOM!$A$9:$A$208,0))</f>
        <v>https://sodimac.falabella.com/</v>
      </c>
      <c r="H41" s="15" t="inlineStr">
        <is>
          <t xml:space="preserve">Montaje final del tótem en terreno</t>
        </is>
      </c>
    </row>
    <row r="42" ht="30" customHeight="true">
      <c r="A42" s="14" t="inlineStr">
        <is>
          <t xml:space="preserve">M02</t>
        </is>
      </c>
      <c r="B42" s="22" t="str">
        <f>INDEX(BOM!$D$9:$D$208,MATCH($A42,BOM!$A$9:$A$208,0))</f>
        <v>Gabinete sellado exterior</v>
      </c>
      <c r="C42" s="22" t="str">
        <f>INDEX(BOM!$I$9:$I$208,MATCH($A42,BOM!$A$9:$A$208,0))</f>
        <v>Sodimac Homecenter</v>
      </c>
      <c r="D42" s="19" t="n">
        <f>INDEX(BOM!$G$9:$G$208,MATCH($A42,BOM!$A$9:$A$208,0))-SUMIF($A$6:$A$16,$A42,$D$6:$D$16)</f>
        <v>2</v>
      </c>
      <c r="E42" s="18" t="n">
        <f>INDEX(BOM!$K$9:$K$208,MATCH($A42,BOM!$A$9:$A$208,0))</f>
        <v>6990</v>
      </c>
      <c r="F42" s="18" t="n">
        <f>D42*E42</f>
        <v>13980</v>
      </c>
      <c r="G42" s="22" t="str">
        <f>INDEX(BOM!$J$9:$J$208,MATCH($A42,BOM!$A$9:$A$208,0))</f>
        <v>https://sodimac.falabella.com/</v>
      </c>
      <c r="H42" s="15" t="inlineStr">
        <is>
          <t xml:space="preserve">Montaje final del tótem en terreno</t>
        </is>
      </c>
    </row>
    <row r="43" ht="30" customHeight="true">
      <c r="A43" s="14" t="inlineStr">
        <is>
          <t xml:space="preserve">M03</t>
        </is>
      </c>
      <c r="B43" s="22" t="str">
        <f>INDEX(BOM!$D$9:$D$208,MATCH($A43,BOM!$A$9:$A$208,0))</f>
        <v>Pinza / clip de sujeción</v>
      </c>
      <c r="C43" s="22" t="str">
        <f>INDEX(BOM!$I$9:$I$208,MATCH($A43,BOM!$A$9:$A$208,0))</f>
        <v>Mercería / ferretería</v>
      </c>
      <c r="D43" s="19" t="n">
        <f>INDEX(BOM!$G$9:$G$208,MATCH($A43,BOM!$A$9:$A$208,0))-SUMIF($A$6:$A$16,$A43,$D$6:$D$16)</f>
        <v>2</v>
      </c>
      <c r="E43" s="18" t="n">
        <f>INDEX(BOM!$K$9:$K$208,MATCH($A43,BOM!$A$9:$A$208,0))</f>
        <v>800</v>
      </c>
      <c r="F43" s="18" t="n">
        <f>D43*E43</f>
        <v>1600</v>
      </c>
      <c r="G43" s="22" t="str">
        <f>INDEX(BOM!$J$9:$J$208,MATCH($A43,BOM!$A$9:$A$208,0))</f>
        <v>Sin enlace verificado</v>
      </c>
      <c r="H43" s="15" t="inlineStr">
        <is>
          <t xml:space="preserve">Pinzas de los clips 2 y 3</t>
        </is>
      </c>
    </row>
    <row r="44" ht="30" customHeight="true">
      <c r="A44" s="14" t="inlineStr">
        <is>
          <t xml:space="preserve">M04</t>
        </is>
      </c>
      <c r="B44" s="22" t="str">
        <f>INDEX(BOM!$D$9:$D$208,MATCH($A44,BOM!$A$9:$A$208,0))</f>
        <v>Mini caja plástica para el clip</v>
      </c>
      <c r="C44" s="22" t="str">
        <f>INDEX(BOM!$I$9:$I$208,MATCH($A44,BOM!$A$9:$A$208,0))</f>
        <v>AFEL</v>
      </c>
      <c r="D44" s="19" t="n">
        <f>INDEX(BOM!$G$9:$G$208,MATCH($A44,BOM!$A$9:$A$208,0))-SUMIF($A$6:$A$16,$A44,$D$6:$D$16)</f>
        <v>2</v>
      </c>
      <c r="E44" s="18" t="n">
        <f>INDEX(BOM!$K$9:$K$208,MATCH($A44,BOM!$A$9:$A$208,0))</f>
        <v>1500</v>
      </c>
      <c r="F44" s="18" t="n">
        <f>D44*E44</f>
        <v>3000</v>
      </c>
      <c r="G44" s="22" t="str">
        <f>INDEX(BOM!$J$9:$J$208,MATCH($A44,BOM!$A$9:$A$208,0))</f>
        <v>https://afel.cl/collections/cajas-proyectos</v>
      </c>
      <c r="H44" s="15" t="inlineStr">
        <is>
          <t xml:space="preserve">Cajas de los clips 2 y 3</t>
        </is>
      </c>
    </row>
    <row r="45" ht="30" customHeight="true">
      <c r="A45" s="14" t="inlineStr">
        <is>
          <t xml:space="preserve">A02</t>
        </is>
      </c>
      <c r="B45" s="22" t="str">
        <f>INDEX(BOM!$D$9:$D$208,MATCH($A45,BOM!$A$9:$A$208,0))</f>
        <v>Cable de potencia 16 AWG</v>
      </c>
      <c r="C45" s="22" t="str">
        <f>INDEX(BOM!$I$9:$I$208,MATCH($A45,BOM!$A$9:$A$208,0))</f>
        <v>AFEL</v>
      </c>
      <c r="D45" s="19" t="n">
        <f>INDEX(BOM!$G$9:$G$208,MATCH($A45,BOM!$A$9:$A$208,0))-SUMIF($A$6:$A$16,$A45,$D$6:$D$16)</f>
        <v>10</v>
      </c>
      <c r="E45" s="18" t="n">
        <f>INDEX(BOM!$K$9:$K$208,MATCH($A45,BOM!$A$9:$A$208,0))</f>
        <v>900</v>
      </c>
      <c r="F45" s="18" t="n">
        <f>D45*E45</f>
        <v>9000</v>
      </c>
      <c r="G45" s="22" t="str">
        <f>INDEX(BOM!$J$9:$J$208,MATCH($A45,BOM!$A$9:$A$208,0))</f>
        <v>https://afel.cl/collections/cables</v>
      </c>
      <c r="H45" s="15" t="inlineStr">
        <is>
          <t xml:space="preserve">Montaje final del tótem en terreno</t>
        </is>
      </c>
    </row>
    <row r="46" ht="30" customHeight="true">
      <c r="A46" s="14" t="inlineStr">
        <is>
          <t xml:space="preserve">A03</t>
        </is>
      </c>
      <c r="B46" s="22" t="str">
        <f>INDEX(BOM!$D$9:$D$208,MATCH($A46,BOM!$A$9:$A$208,0))</f>
        <v>Cable de señal 22–24 AWG</v>
      </c>
      <c r="C46" s="22" t="str">
        <f>INDEX(BOM!$I$9:$I$208,MATCH($A46,BOM!$A$9:$A$208,0))</f>
        <v>AFEL</v>
      </c>
      <c r="D46" s="19" t="n">
        <f>INDEX(BOM!$G$9:$G$208,MATCH($A46,BOM!$A$9:$A$208,0))-SUMIF($A$6:$A$16,$A46,$D$6:$D$16)</f>
        <v>10</v>
      </c>
      <c r="E46" s="18" t="n">
        <f>INDEX(BOM!$K$9:$K$208,MATCH($A46,BOM!$A$9:$A$208,0))</f>
        <v>400</v>
      </c>
      <c r="F46" s="18" t="n">
        <f>D46*E46</f>
        <v>4000</v>
      </c>
      <c r="G46" s="22" t="str">
        <f>INDEX(BOM!$J$9:$J$208,MATCH($A46,BOM!$A$9:$A$208,0))</f>
        <v>https://afel.cl/collections/cables</v>
      </c>
      <c r="H46" s="15" t="inlineStr">
        <is>
          <t xml:space="preserve">Montaje final del tótem en terreno</t>
        </is>
      </c>
    </row>
    <row r="47" ht="30" customHeight="true">
      <c r="A47" s="14" t="inlineStr">
        <is>
          <t xml:space="preserve">A04</t>
        </is>
      </c>
      <c r="B47" s="22" t="str">
        <f>INDEX(BOM!$D$9:$D$208,MATCH($A47,BOM!$A$9:$A$208,0))</f>
        <v>Placa perforada</v>
      </c>
      <c r="C47" s="22" t="str">
        <f>INDEX(BOM!$I$9:$I$208,MATCH($A47,BOM!$A$9:$A$208,0))</f>
        <v>AFEL</v>
      </c>
      <c r="D47" s="19" t="n">
        <f>INDEX(BOM!$G$9:$G$208,MATCH($A47,BOM!$A$9:$A$208,0))-SUMIF($A$6:$A$16,$A47,$D$6:$D$16)</f>
        <v>2</v>
      </c>
      <c r="E47" s="18" t="n">
        <f>INDEX(BOM!$K$9:$K$208,MATCH($A47,BOM!$A$9:$A$208,0))</f>
        <v>1200</v>
      </c>
      <c r="F47" s="18" t="n">
        <f>D47*E47</f>
        <v>2400</v>
      </c>
      <c r="G47" s="22" t="str">
        <f>INDEX(BOM!$J$9:$J$208,MATCH($A47,BOM!$A$9:$A$208,0))</f>
        <v>https://afel.cl/collections/perfboard-pcb</v>
      </c>
      <c r="H47" s="15" t="inlineStr">
        <is>
          <t xml:space="preserve">Montaje final del tótem en terreno</t>
        </is>
      </c>
    </row>
    <row r="48" ht="30" customHeight="true">
      <c r="A48" s="14" t="inlineStr">
        <is>
          <t xml:space="preserve">A05</t>
        </is>
      </c>
      <c r="B48" s="22" t="str">
        <f>INDEX(BOM!$D$9:$D$208,MATCH($A48,BOM!$A$9:$A$208,0))</f>
        <v>Estaño + termocontraíble</v>
      </c>
      <c r="C48" s="22" t="str">
        <f>INDEX(BOM!$I$9:$I$208,MATCH($A48,BOM!$A$9:$A$208,0))</f>
        <v>AFEL</v>
      </c>
      <c r="D48" s="19" t="n">
        <f>INDEX(BOM!$G$9:$G$208,MATCH($A48,BOM!$A$9:$A$208,0))-SUMIF($A$6:$A$16,$A48,$D$6:$D$16)</f>
        <v>1</v>
      </c>
      <c r="E48" s="18" t="n">
        <f>INDEX(BOM!$K$9:$K$208,MATCH($A48,BOM!$A$9:$A$208,0))</f>
        <v>6000</v>
      </c>
      <c r="F48" s="18" t="n">
        <f>D48*E48</f>
        <v>6000</v>
      </c>
      <c r="G48" s="22" t="str">
        <f>INDEX(BOM!$J$9:$J$208,MATCH($A48,BOM!$A$9:$A$208,0))</f>
        <v>https://afel.cl/collections/soldadura</v>
      </c>
      <c r="H48" s="15" t="inlineStr">
        <is>
          <t xml:space="preserve">Montaje final del tótem en terreno</t>
        </is>
      </c>
    </row>
    <row r="49" ht="30" customHeight="true">
      <c r="A49" s="14" t="inlineStr">
        <is>
          <t xml:space="preserve">A06</t>
        </is>
      </c>
      <c r="B49" s="22" t="str">
        <f>INDEX(BOM!$D$9:$D$208,MATCH($A49,BOM!$A$9:$A$208,0))</f>
        <v>Prensaestopas PG9</v>
      </c>
      <c r="C49" s="22" t="str">
        <f>INDEX(BOM!$I$9:$I$208,MATCH($A49,BOM!$A$9:$A$208,0))</f>
        <v>Ferretería eléctrica</v>
      </c>
      <c r="D49" s="19" t="n">
        <f>INDEX(BOM!$G$9:$G$208,MATCH($A49,BOM!$A$9:$A$208,0))-SUMIF($A$6:$A$16,$A49,$D$6:$D$16)</f>
        <v>8</v>
      </c>
      <c r="E49" s="18" t="n">
        <f>INDEX(BOM!$K$9:$K$208,MATCH($A49,BOM!$A$9:$A$208,0))</f>
        <v>500</v>
      </c>
      <c r="F49" s="18" t="n">
        <f>D49*E49</f>
        <v>4000</v>
      </c>
      <c r="G49" s="22" t="str">
        <f>INDEX(BOM!$J$9:$J$208,MATCH($A49,BOM!$A$9:$A$208,0))</f>
        <v>Sin enlace verificado</v>
      </c>
      <c r="H49" s="15" t="inlineStr">
        <is>
          <t xml:space="preserve">Montaje final del tótem en terreno</t>
        </is>
      </c>
    </row>
    <row r="50" ht="30" customHeight="true">
      <c r="A50" s="14" t="inlineStr">
        <is>
          <t xml:space="preserve">A07</t>
        </is>
      </c>
      <c r="B50" s="22" t="str">
        <f>INDEX(BOM!$D$9:$D$208,MATCH($A50,BOM!$A$9:$A$208,0))</f>
        <v>Regleta de 2 polos</v>
      </c>
      <c r="C50" s="22" t="str">
        <f>INDEX(BOM!$I$9:$I$208,MATCH($A50,BOM!$A$9:$A$208,0))</f>
        <v>AFEL</v>
      </c>
      <c r="D50" s="19" t="n">
        <f>INDEX(BOM!$G$9:$G$208,MATCH($A50,BOM!$A$9:$A$208,0))-SUMIF($A$6:$A$16,$A50,$D$6:$D$16)</f>
        <v>8</v>
      </c>
      <c r="E50" s="18" t="n">
        <f>INDEX(BOM!$K$9:$K$208,MATCH($A50,BOM!$A$9:$A$208,0))</f>
        <v>800</v>
      </c>
      <c r="F50" s="18" t="n">
        <f>D50*E50</f>
        <v>6400</v>
      </c>
      <c r="G50" s="22" t="str">
        <f>INDEX(BOM!$J$9:$J$208,MATCH($A50,BOM!$A$9:$A$208,0))</f>
        <v>https://afel.cl/collections/regletas</v>
      </c>
      <c r="H50" s="15" t="inlineStr">
        <is>
          <t xml:space="preserve">Montaje final del tótem en terreno</t>
        </is>
      </c>
    </row>
    <row r="51" ht="30" customHeight="true">
      <c r="A51" s="14" t="inlineStr">
        <is>
          <t xml:space="preserve">A08</t>
        </is>
      </c>
      <c r="B51" s="22" t="str">
        <f>INDEX(BOM!$D$9:$D$208,MATCH($A51,BOM!$A$9:$A$208,0))</f>
        <v>Terminales faston 6.3 mm</v>
      </c>
      <c r="C51" s="22" t="str">
        <f>INDEX(BOM!$I$9:$I$208,MATCH($A51,BOM!$A$9:$A$208,0))</f>
        <v>Ferretería eléctrica</v>
      </c>
      <c r="D51" s="19" t="n">
        <f>INDEX(BOM!$G$9:$G$208,MATCH($A51,BOM!$A$9:$A$208,0))-SUMIF($A$6:$A$16,$A51,$D$6:$D$16)</f>
        <v>2</v>
      </c>
      <c r="E51" s="18" t="n">
        <f>INDEX(BOM!$K$9:$K$208,MATCH($A51,BOM!$A$9:$A$208,0))</f>
        <v>1500</v>
      </c>
      <c r="F51" s="18" t="n">
        <f>D51*E51</f>
        <v>3000</v>
      </c>
      <c r="G51" s="22" t="str">
        <f>INDEX(BOM!$J$9:$J$208,MATCH($A51,BOM!$A$9:$A$208,0))</f>
        <v>Sin enlace verificado</v>
      </c>
      <c r="H51" s="15" t="inlineStr">
        <is>
          <t xml:space="preserve">Montaje final del tótem en terreno</t>
        </is>
      </c>
    </row>
    <row r="52" ht="30" customHeight="true">
      <c r="A52" s="14" t="inlineStr">
        <is>
          <t xml:space="preserve">A09</t>
        </is>
      </c>
      <c r="B52" s="22" t="str">
        <f>INDEX(BOM!$D$9:$D$208,MATCH($A52,BOM!$A$9:$A$208,0))</f>
        <v>Tornillería y amarras</v>
      </c>
      <c r="C52" s="22" t="str">
        <f>INDEX(BOM!$I$9:$I$208,MATCH($A52,BOM!$A$9:$A$208,0))</f>
        <v>AFEL</v>
      </c>
      <c r="D52" s="19" t="n">
        <f>INDEX(BOM!$G$9:$G$208,MATCH($A52,BOM!$A$9:$A$208,0))-SUMIF($A$6:$A$16,$A52,$D$6:$D$16)</f>
        <v>1</v>
      </c>
      <c r="E52" s="18" t="n">
        <f>INDEX(BOM!$K$9:$K$208,MATCH($A52,BOM!$A$9:$A$208,0))</f>
        <v>3000</v>
      </c>
      <c r="F52" s="18" t="n">
        <f>D52*E52</f>
        <v>3000</v>
      </c>
      <c r="G52" s="22" t="str">
        <f>INDEX(BOM!$J$9:$J$208,MATCH($A52,BOM!$A$9:$A$208,0))</f>
        <v>https://afel.cl/collections/tornilleria</v>
      </c>
      <c r="H52" s="15" t="inlineStr">
        <is>
          <t xml:space="preserve">Montaje final del tótem en terreno</t>
        </is>
      </c>
    </row>
    <row r="53" ht="30" customHeight="true">
      <c r="A53" s="14" t="inlineStr">
        <is>
          <t xml:space="preserve">T01</t>
        </is>
      </c>
      <c r="B53" s="22" t="str">
        <f>INDEX(BOM!$D$9:$D$208,MATCH($A53,BOM!$A$9:$A$208,0))</f>
        <v>Silicona neutra + gel de sílice</v>
      </c>
      <c r="C53" s="22" t="str">
        <f>INDEX(BOM!$I$9:$I$208,MATCH($A53,BOM!$A$9:$A$208,0))</f>
        <v>Ferretería</v>
      </c>
      <c r="D53" s="19" t="n">
        <f>INDEX(BOM!$G$9:$G$208,MATCH($A53,BOM!$A$9:$A$208,0))-SUMIF($A$6:$A$16,$A53,$D$6:$D$16)</f>
        <v>1</v>
      </c>
      <c r="E53" s="18" t="n">
        <f>INDEX(BOM!$K$9:$K$208,MATCH($A53,BOM!$A$9:$A$208,0))</f>
        <v>3500</v>
      </c>
      <c r="F53" s="18" t="n">
        <f>D53*E53</f>
        <v>3500</v>
      </c>
      <c r="G53" s="22" t="str">
        <f>INDEX(BOM!$J$9:$J$208,MATCH($A53,BOM!$A$9:$A$208,0))</f>
        <v>Sin enlace verificado</v>
      </c>
      <c r="H53" s="15" t="inlineStr">
        <is>
          <t xml:space="preserve">Montaje final del tótem en terreno</t>
        </is>
      </c>
    </row>
    <row r="54">
      <c r="A54" s="28" t="inlineStr">
        <is>
          <t xml:space="preserve">Total fase 2</t>
        </is>
      </c>
      <c r="F54" s="30" t="n">
        <f>SUM(F21:F53)</f>
        <v>323914</v>
      </c>
    </row>
    <row r="56">
      <c r="A56" s="3" t="inlineStr">
        <is>
          <t xml:space="preserve">Control</t>
        </is>
      </c>
    </row>
    <row r="57">
      <c r="A57" s="14" t="inlineStr">
        <is>
          <t xml:space="preserve">Fase 1 + Fase 2</t>
        </is>
      </c>
      <c r="F57" s="18" t="n">
        <f>F17+F54</f>
        <v>432314</v>
      </c>
    </row>
    <row r="58">
      <c r="A58" s="14" t="inlineStr">
        <is>
          <t xml:space="preserve">Total hoja BOM</t>
        </is>
      </c>
      <c r="F58" s="18" t="n">
        <f>BOM!F2</f>
        <v>432314</v>
      </c>
    </row>
    <row r="59">
      <c r="A59" s="14" t="inlineStr">
        <is>
          <t xml:space="preserve">Diferencia (debe ser 0)</t>
        </is>
      </c>
      <c r="F59" s="18" t="n">
        <f>F57-F58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2026-09-25T02:41:15Z</dcterms:created>
  <dc:creator>openpyxl</dc:creator>
  <dc:description/>
  <dc:language>en-US</dc:language>
  <cp:lastModifiedBy/>
  <dcterms:modified xsi:type="dcterms:W3CDTF">2026-09-25T02:41:17Z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